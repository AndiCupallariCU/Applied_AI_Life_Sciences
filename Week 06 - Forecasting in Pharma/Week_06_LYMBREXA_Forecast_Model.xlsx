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Epi_Inputs" sheetId="3" state="visible" r:id="rId5"/>
    <sheet name="Funnel" sheetId="4" state="visible" r:id="rId6"/>
    <sheet name="Brand_LRP" sheetId="5" state="visible" r:id="rId7"/>
    <sheet name="Budget" sheetId="6" state="visible" r:id="rId8"/>
  </sheets>
  <definedNames>
    <definedName function="false" hidden="false" name="Cases_multiplier" vbProcedure="false">Assumptions!$H$6</definedName>
    <definedName function="false" hidden="false" name="Case_growth" vbProcedure="false">Assumptions!$H$7</definedName>
    <definedName function="false" hidden="false" name="Compliance" vbProcedure="false">Assumptions!$H$25</definedName>
    <definedName function="false" hidden="false" name="Coverage_Y1" vbProcedure="false">Assumptions!$H$22</definedName>
    <definedName function="false" hidden="false" name="Coverage_Y2" vbProcedure="false">Assumptions!$H$23</definedName>
    <definedName function="false" hidden="false" name="Diagnosed" vbProcedure="false">Assumptions!$H$8</definedName>
    <definedName function="false" hidden="false" name="Gross_to_net" vbProcedure="false">Assumptions!$H$27</definedName>
    <definedName function="false" hidden="false" name="Lag_years" vbProcedure="false">Assumptions!$H$13</definedName>
    <definedName function="false" hidden="false" name="Later_lines" vbProcedure="false">Assumptions!$H$12</definedName>
    <definedName function="false" hidden="false" name="Launch_2L" vbProcedure="false">Assumptions!$H$15</definedName>
    <definedName function="false" hidden="false" name="Launch_3L" vbProcedure="false">Assumptions!$H$14</definedName>
    <definedName function="false" hidden="false" name="LOE_retention_after" vbProcedure="false">Assumptions!$H$30</definedName>
    <definedName function="false" hidden="false" name="LOE_retention_Y0" vbProcedure="false">Assumptions!$H$29</definedName>
    <definedName function="false" hidden="false" name="LOE_year" vbProcedure="false">Assumptions!$H$28</definedName>
    <definedName function="false" hidden="false" name="Months_on_therapy" vbProcedure="false">Assumptions!$H$24</definedName>
    <definedName function="false" hidden="false" name="Peak_share_2L" vbProcedure="false">Assumptions!$H$17</definedName>
    <definedName function="false" hidden="false" name="Peak_share_3L" vbProcedure="false">Assumptions!$H$16</definedName>
    <definedName function="false" hidden="false" name="Plan_2029" vbProcedure="false">Assumptions!$F$35</definedName>
    <definedName function="false" hidden="false" name="Plan_peak" vbProcedure="false">Assumptions!$F$36</definedName>
    <definedName function="false" hidden="false" name="Progress_2L" vbProcedure="false">Assumptions!$H$10</definedName>
    <definedName function="false" hidden="false" name="Progress_3L" vbProcedure="false">Assumptions!$H$11</definedName>
    <definedName function="false" hidden="false" name="Scenario" vbProcedure="false">Assumptions!$C$3</definedName>
    <definedName function="false" hidden="false" name="Treated_1L" vbProcedure="false">Assumptions!$H$9</definedName>
    <definedName function="false" hidden="false" name="Uptake_Y1" vbProcedure="false">Assumptions!$H$18</definedName>
    <definedName function="false" hidden="false" name="Uptake_Y2" vbProcedure="false">Assumptions!$H$19</definedName>
    <definedName function="false" hidden="false" name="Uptake_Y3" vbProcedure="false">Assumptions!$H$20</definedName>
    <definedName function="false" hidden="false" name="Uptake_Y4" vbProcedure="false">Assumptions!$H$21</definedName>
    <definedName function="false" hidden="false" name="WAC_month" vbProcedure="false">Assumptions!$H$26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<sst xmlns="http://schemas.openxmlformats.org/spreadsheetml/2006/main" count="375" uniqueCount="258">
  <si>
    <t xml:space="preserve">LYMBREXA forecast model — Week 6</t>
  </si>
  <si>
    <t xml:space="preserve">Applied Data Science and AI in Pharma Commercial · Columbia DSI · Fall 2026 · all data synthetic; LYMBREXA is fictional</t>
  </si>
  <si>
    <t xml:space="preserve">How to use</t>
  </si>
  <si>
    <t xml:space="preserve">1. Choose a scenario on 'Assumptions' (cell C3): 1 = low, 2 = base, 3 = high. Every sheet recalculates.</t>
  </si>
  <si>
    <t xml:space="preserve">2. Change any blue cell in the low / base / high columns on 'Assumptions' to test an assumption. Write the reason in the Rationale column.</t>
  </si>
  <si>
    <t xml:space="preserve">3. Read the results on 'Brand_LRP' (annual, 2027–2041) and 'Budget' (monthly, 2027–2028).</t>
  </si>
  <si>
    <t xml:space="preserve">Colour code</t>
  </si>
  <si>
    <t xml:space="preserve">Blue text = input you may change · Black = formula · Green = link to another sheet · Yellow fill = scenario selector</t>
  </si>
  <si>
    <t xml:space="preserve">The model in five lines</t>
  </si>
  <si>
    <t xml:space="preserve">1L patients = incident cases × diagnosed × treated in 1L</t>
  </si>
  <si>
    <t xml:space="preserve">2L starts = last year's 1L patients × progress to 2L;   3L+ starts = last year's 2L × progress to 3L × later-lines multiplier</t>
  </si>
  <si>
    <t xml:space="preserve">Brand share = peak share × uptake (by year since launch) × coverage × LOE retention;   new patients = line starts × brand share</t>
  </si>
  <si>
    <t xml:space="preserve">Patients on therapy = new patients × months on therapy ÷ 12 (Little's law);   net revenue = new patients × months × compliance × price × gross-to-net</t>
  </si>
  <si>
    <t xml:space="preserve">Budget = the 2027–28 annual values phased by month (linear ramp in the launch year, flat after)</t>
  </si>
  <si>
    <t xml:space="preserve">Sheets</t>
  </si>
  <si>
    <t xml:space="preserve">Assumptions — every input, with low / base / high, source and rationale</t>
  </si>
  <si>
    <t xml:space="preserve">Epi_Inputs — incident cases by year (data, then growth)</t>
  </si>
  <si>
    <t xml:space="preserve">Funnel — the patient funnel by year</t>
  </si>
  <si>
    <t xml:space="preserve">Brand_LRP — the long-range plan</t>
  </si>
  <si>
    <t xml:space="preserve">Budget — the monthly budget for 2027–28</t>
  </si>
  <si>
    <t xml:space="preserve">Assumption book — LYMBREXA (3L+ and 2L DLBCL)</t>
  </si>
  <si>
    <t xml:space="preserve">Scenario (1 = low, 2 = base, 3 = high)</t>
  </si>
  <si>
    <t xml:space="preserve">ID</t>
  </si>
  <si>
    <t xml:space="preserve">Category</t>
  </si>
  <si>
    <t xml:space="preserve">Assumption</t>
  </si>
  <si>
    <t xml:space="preserve">Unit</t>
  </si>
  <si>
    <t xml:space="preserve">Low</t>
  </si>
  <si>
    <t xml:space="preserve">Base</t>
  </si>
  <si>
    <t xml:space="preserve">High</t>
  </si>
  <si>
    <t xml:space="preserve">Active</t>
  </si>
  <si>
    <t xml:space="preserve">Source type</t>
  </si>
  <si>
    <t xml:space="preserve">Source</t>
  </si>
  <si>
    <t xml:space="preserve">Rationale</t>
  </si>
  <si>
    <t xml:space="preserve">E0</t>
  </si>
  <si>
    <t xml:space="preserve">Epidemiology</t>
  </si>
  <si>
    <t xml:space="preserve">Incident cases: multiplier on the data (Epi_Inputs)</t>
  </si>
  <si>
    <t xml:space="preserve">× data</t>
  </si>
  <si>
    <t xml:space="preserve">Data (synthetic)</t>
  </si>
  <si>
    <t xml:space="preserve">dlbcl_epi_inputs.csv (sum of age bands); Teras et al. 2016 for the age pattern</t>
  </si>
  <si>
    <t xml:space="preserve">Stylized US incidence; rises ~2%/yr as the population ages</t>
  </si>
  <si>
    <t xml:space="preserve">E1</t>
  </si>
  <si>
    <t xml:space="preserve">Incident-case growth after 2030</t>
  </si>
  <si>
    <t xml:space="preserve">% / yr</t>
  </si>
  <si>
    <t xml:space="preserve">2026–2030 growth in dlbcl_epi_inputs.csv</t>
  </si>
  <si>
    <t xml:space="preserve">Continue the aging trend</t>
  </si>
  <si>
    <t xml:space="preserve">E2</t>
  </si>
  <si>
    <t xml:space="preserve">Diagnosed and presenting</t>
  </si>
  <si>
    <t xml:space="preserve">% of cases</t>
  </si>
  <si>
    <t xml:space="preserve">dlbcl_treatment_funnel.csv, age-weighted</t>
  </si>
  <si>
    <t xml:space="preserve">Nearly all DLBCL is diagnosed — an aggressive lymphoma presents</t>
  </si>
  <si>
    <t xml:space="preserve">T1</t>
  </si>
  <si>
    <t xml:space="preserve">Treatment</t>
  </si>
  <si>
    <t xml:space="preserve">Treated in 1L</t>
  </si>
  <si>
    <t xml:space="preserve">% of diagnosed</t>
  </si>
  <si>
    <t xml:space="preserve">Lower in the 80+ band; checked against observed 1L starts (within 2%)</t>
  </si>
  <si>
    <t xml:space="preserve">T2</t>
  </si>
  <si>
    <t xml:space="preserve">Progress to 2L (lifetime), one year later</t>
  </si>
  <si>
    <t xml:space="preserve">% of 1L</t>
  </si>
  <si>
    <t xml:space="preserve">Data + literature</t>
  </si>
  <si>
    <t xml:space="preserve">Week 2 cohort, Kaplan–Meier 36% at 36 mo; Sehn &amp; Salles 2021 (&gt;60% cured with R-CHOP)</t>
  </si>
  <si>
    <t xml:space="preserve">KM on a treated claims cohort, trimmed for frail patients not re-treated</t>
  </si>
  <si>
    <t xml:space="preserve">T3</t>
  </si>
  <si>
    <t xml:space="preserve">Progress to 3L (lifetime), one year later</t>
  </si>
  <si>
    <t xml:space="preserve">% of 2L</t>
  </si>
  <si>
    <t xml:space="preserve">Data + judgment</t>
  </si>
  <si>
    <t xml:space="preserve">Week 2 cohort, Kaplan–Meier 61% at 24 mo</t>
  </si>
  <si>
    <t xml:space="preserve">Cohort is younger than the market; adjusted down</t>
  </si>
  <si>
    <t xml:space="preserve">T4</t>
  </si>
  <si>
    <t xml:space="preserve">Later-lines multiplier (3L+ starts per 3L patient)</t>
  </si>
  <si>
    <t xml:space="preserve">×</t>
  </si>
  <si>
    <t xml:space="preserve">dlbcl_treatment_funnel.csv</t>
  </si>
  <si>
    <t xml:space="preserve">Some 3L patients start a 4L and 5L</t>
  </si>
  <si>
    <t xml:space="preserve">T5</t>
  </si>
  <si>
    <t xml:space="preserve">Lag between lines</t>
  </si>
  <si>
    <t xml:space="preserve">years</t>
  </si>
  <si>
    <t xml:space="preserve">Simplification</t>
  </si>
  <si>
    <t xml:space="preserve">Week 2 cohort: median 14 mo (1L→2L), 9 mo (2L→3L)</t>
  </si>
  <si>
    <t xml:space="preserve">Rounded to one year; acceptable at annual grain</t>
  </si>
  <si>
    <t xml:space="preserve">B1</t>
  </si>
  <si>
    <t xml:space="preserve">Brand</t>
  </si>
  <si>
    <t xml:space="preserve">3L+ launch year</t>
  </si>
  <si>
    <t xml:space="preserve">year</t>
  </si>
  <si>
    <t xml:space="preserve">Regulatory plan</t>
  </si>
  <si>
    <t xml:space="preserve">PDUFA January 2027 (fictional)</t>
  </si>
  <si>
    <t xml:space="preserve">A 3-month delay would cost ~6% of 2027 revenue; not modeled</t>
  </si>
  <si>
    <t xml:space="preserve">B2</t>
  </si>
  <si>
    <t xml:space="preserve">2L label — first full year</t>
  </si>
  <si>
    <t xml:space="preserve">Phase 3 readout; sBLA mid-2028 (fictional)</t>
  </si>
  <si>
    <t xml:space="preserve">Base models 2L from Jan 2029; high case brings it to 2028</t>
  </si>
  <si>
    <t xml:space="preserve">B3</t>
  </si>
  <si>
    <t xml:space="preserve">Peak share of 3L+ starts</t>
  </si>
  <si>
    <t xml:space="preserve">% of starts</t>
  </si>
  <si>
    <t xml:space="preserve">Literature + analog</t>
  </si>
  <si>
    <t xml:space="preserve">Kalyanaram, Robinson &amp; Urban 1995: share ≈ pioneer ÷ √order → 0.26 × 0.58</t>
  </si>
  <si>
    <t xml:space="preserve">Third entrant in class; pioneer analog peaked at 0.26</t>
  </si>
  <si>
    <t xml:space="preserve">B4</t>
  </si>
  <si>
    <t xml:space="preserve">Peak share of 2L starts</t>
  </si>
  <si>
    <t xml:space="preserve">Judgment</t>
  </si>
  <si>
    <t xml:space="preserve">2L crowded: CAR-T, ADC combination, chemo-immunotherapy</t>
  </si>
  <si>
    <t xml:space="preserve">Lower than 3L+ because the 2L market has more options</t>
  </si>
  <si>
    <t xml:space="preserve">U1</t>
  </si>
  <si>
    <t xml:space="preserve">Uptake: year 1 (% of peak share)</t>
  </si>
  <si>
    <t xml:space="preserve">% of peak</t>
  </si>
  <si>
    <t xml:space="preserve">Analog</t>
  </si>
  <si>
    <t xml:space="preserve">analog_launches_monthly.csv: outpatient analogs 0.24–0.37; CAR-T 0.08–0.12</t>
  </si>
  <si>
    <t xml:space="preserve">Low = cell-therapy-like start; high = first bispecific</t>
  </si>
  <si>
    <t xml:space="preserve">U2</t>
  </si>
  <si>
    <t xml:space="preserve">Uptake: year 2</t>
  </si>
  <si>
    <t xml:space="preserve">same: outpatient 0.89–0.99; CAR-T 0.49–0.63</t>
  </si>
  <si>
    <t xml:space="preserve">U3</t>
  </si>
  <si>
    <t xml:space="preserve">Uptake: year 3</t>
  </si>
  <si>
    <t xml:space="preserve">same: all analogs 0.90–1.06</t>
  </si>
  <si>
    <t xml:space="preserve">U4</t>
  </si>
  <si>
    <t xml:space="preserve">Uptake: year 4 onward</t>
  </si>
  <si>
    <t xml:space="preserve">same</t>
  </si>
  <si>
    <t xml:space="preserve">Peak by year 3–4</t>
  </si>
  <si>
    <t xml:space="preserve">C1</t>
  </si>
  <si>
    <t xml:space="preserve">Access</t>
  </si>
  <si>
    <t xml:space="preserve">Coverage in launch year</t>
  </si>
  <si>
    <t xml:space="preserve">% of starts reachable</t>
  </si>
  <si>
    <t xml:space="preserve">dlbcl_prescriber_3Lplus_starts.csv: top 10% of prescribers write 53% of starts</t>
  </si>
  <si>
    <t xml:space="preserve">Formulary at the ~40 largest centers in year 1</t>
  </si>
  <si>
    <t xml:space="preserve">C2</t>
  </si>
  <si>
    <t xml:space="preserve">Coverage from year 2</t>
  </si>
  <si>
    <t xml:space="preserve">Long tail of community prescribers</t>
  </si>
  <si>
    <t xml:space="preserve">D1</t>
  </si>
  <si>
    <t xml:space="preserve">Persistence</t>
  </si>
  <si>
    <t xml:space="preserve">Average months on therapy</t>
  </si>
  <si>
    <t xml:space="preserve">months</t>
  </si>
  <si>
    <t xml:space="preserve">Label + data</t>
  </si>
  <si>
    <t xml:space="preserve">8-cycle fixed course (label, fictional); persistence KM: analogs 5.9–9.4 mo; Cramer et al. 2008 definitions</t>
  </si>
  <si>
    <t xml:space="preserve">Cap of 8 months minus early discontinuation</t>
  </si>
  <si>
    <t xml:space="preserve">D2</t>
  </si>
  <si>
    <t xml:space="preserve">Compliance (doses received)</t>
  </si>
  <si>
    <t xml:space="preserve">% of planned</t>
  </si>
  <si>
    <t xml:space="preserve">Dose delays and holds</t>
  </si>
  <si>
    <t xml:space="preserve">P1</t>
  </si>
  <si>
    <t xml:space="preserve">Price</t>
  </si>
  <si>
    <t xml:space="preserve">List price (WAC) per 28-day month</t>
  </si>
  <si>
    <t xml:space="preserve">$</t>
  </si>
  <si>
    <t xml:space="preserve">Pricing plan</t>
  </si>
  <si>
    <t xml:space="preserve">Fictional</t>
  </si>
  <si>
    <t xml:space="preserve">Held flat (no price increases modeled)</t>
  </si>
  <si>
    <t xml:space="preserve">P2</t>
  </si>
  <si>
    <t xml:space="preserve">Gross-to-net (share of WAC kept)</t>
  </si>
  <si>
    <t xml:space="preserve">%</t>
  </si>
  <si>
    <t xml:space="preserve">Rebates, 340B, Medicare</t>
  </si>
  <si>
    <t xml:space="preserve">L1</t>
  </si>
  <si>
    <t xml:space="preserve">LOE</t>
  </si>
  <si>
    <t xml:space="preserve">Loss-of-exclusivity year</t>
  </si>
  <si>
    <t xml:space="preserve">Patent calendar</t>
  </si>
  <si>
    <t xml:space="preserve">Fictional; see IQVIA ADC paper for how exclusivity dates are read</t>
  </si>
  <si>
    <t xml:space="preserve">L2</t>
  </si>
  <si>
    <t xml:space="preserve">Share retained in the LOE year</t>
  </si>
  <si>
    <t xml:space="preserve">% of pre-LOE</t>
  </si>
  <si>
    <t xml:space="preserve">Mid-year entry</t>
  </si>
  <si>
    <t xml:space="preserve">L3</t>
  </si>
  <si>
    <t xml:space="preserve">Share retained after the LOE year</t>
  </si>
  <si>
    <t xml:space="preserve">Literature + judgment</t>
  </si>
  <si>
    <t xml:space="preserve">Grabowski et al. 2021: small-molecule brands keep ~23% of units at 1 yr; biologics erode slower</t>
  </si>
  <si>
    <t xml:space="preserve">Biosimilar erosion assumed slower than generic</t>
  </si>
  <si>
    <t xml:space="preserve">F1</t>
  </si>
  <si>
    <t xml:space="preserve">Budget</t>
  </si>
  <si>
    <t xml:space="preserve">Launch-year phasing of starts</t>
  </si>
  <si>
    <t xml:space="preserve">profile</t>
  </si>
  <si>
    <t xml:space="preserve">linear ramp (month m ∝ m)</t>
  </si>
  <si>
    <t xml:space="preserve">Starts grow through the launch year</t>
  </si>
  <si>
    <t xml:space="preserve">F2</t>
  </si>
  <si>
    <t xml:space="preserve">Phasing after the launch year</t>
  </si>
  <si>
    <t xml:space="preserve">flat (1/12 per month)</t>
  </si>
  <si>
    <t xml:space="preserve">No seasonality in oncology starts</t>
  </si>
  <si>
    <t xml:space="preserve">Plan of record (for comparison)</t>
  </si>
  <si>
    <t xml:space="preserve">LRP 2029 net revenue ($M)</t>
  </si>
  <si>
    <t xml:space="preserve">Portfolio strategy plan on file (case input)</t>
  </si>
  <si>
    <t xml:space="preserve">LRP peak net revenue ($M)</t>
  </si>
  <si>
    <t xml:space="preserve">Incident DLBCL cases (US, all ages)</t>
  </si>
  <si>
    <t xml:space="preserve">Source: dlbcl_epi_inputs.csv (synthetic, stylized; age pattern per Teras et al., CA Cancer J Clin 2016). After 2030: grows at Case_growth.</t>
  </si>
  <si>
    <t xml:space="preserve">Year</t>
  </si>
  <si>
    <t xml:space="preserve">Incident cases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</si>
  <si>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</si>
  <si>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</si>
  <si>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</si>
  <si>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</si>
  <si>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</si>
  <si>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</si>
  <si>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</si>
  <si>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</si>
  <si>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</si>
  <si>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</si>
  <si>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</si>
  <si>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</si>
  <si>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</si>
  <si>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</si>
  <si>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</si>
  <si>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</si>
  <si>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</si>
  <si>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</si>
  <si>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</si>
  <si>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</si>
  <si>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The patient funnel — incidence model, one-year lag between lines</t>
  </si>
  <si>
    <t xml:space="preserve">2L treatment starts</t>
  </si>
  <si>
    <t xml:space="preserve">3L+ treatment starts</t>
  </si>
  <si>
    <t xml:space="preserve">Check against the market (2025): observed 1L 17,930 · 2L 5,468 · 3L+ 3,471 (dlbcl_market_monthly.csv)</t>
  </si>
  <si>
    <t xml:space="preserve">LYMBREXA — long-range plan (annual)</t>
  </si>
  <si>
    <t xml:space="preserve">3L+ indication</t>
  </si>
  <si>
    <t xml:space="preserve">Years since 3L+ launch</t>
  </si>
  <si>
    <t xml:space="preserve">Uptake (% of peak share)</t>
  </si>
  <si>
    <t xml:space="preserve">Coverage</t>
  </si>
  <si>
    <t xml:space="preserve">LOE retention</t>
  </si>
  <si>
    <t xml:space="preserve">Brand share of 3L+ starts</t>
  </si>
  <si>
    <t xml:space="preserve">New 3L+ patients</t>
  </si>
  <si>
    <t xml:space="preserve">2L indication</t>
  </si>
  <si>
    <t xml:space="preserve">Years since 2L launch</t>
  </si>
  <si>
    <t xml:space="preserve">Brand share of 2L starts</t>
  </si>
  <si>
    <t xml:space="preserve">New 2L patients</t>
  </si>
  <si>
    <t xml:space="preserve">Totals</t>
  </si>
  <si>
    <t xml:space="preserve">New patients</t>
  </si>
  <si>
    <t xml:space="preserve">Patients on therapy (average)</t>
  </si>
  <si>
    <t xml:space="preserve">Patient-months</t>
  </si>
  <si>
    <t xml:space="preserve">Net revenue ($M)</t>
  </si>
  <si>
    <t xml:space="preserve">Plan of record ($M)</t>
  </si>
  <si>
    <t xml:space="preserve">Peak net revenue ($M)</t>
  </si>
  <si>
    <t xml:space="preserve">Peak year</t>
  </si>
  <si>
    <t xml:space="preserve">Plan of record, peak ($M)</t>
  </si>
  <si>
    <t xml:space="preserve">Patients on therapy uses Little's law (Little 1961): average on therapy = starts per year × years on therapy. It slightly overstates the launch year.</t>
  </si>
  <si>
    <t xml:space="preserve">LYMBREXA — budget (monthly, 2027–28) = the LRP phased by month</t>
  </si>
  <si>
    <t xml:space="preserve">Phasing: in the launch year, month m gets m/78 of the year (linear ramp; 1+2+…+12 = 78); later years 1/12 each (assumptions F1, F2).</t>
  </si>
  <si>
    <t xml:space="preserve">Month</t>
  </si>
  <si>
    <t xml:space="preserve">Month #</t>
  </si>
  <si>
    <t xml:space="preserve">Phasing weight</t>
  </si>
  <si>
    <t xml:space="preserve">Patients on therapy</t>
  </si>
  <si>
    <t xml:space="preserve">Vials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</si>
  <si>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</si>
  <si>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</si>
  <si>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</si>
  <si>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</si>
  <si>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</si>
  <si>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</si>
  <si>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</si>
  <si>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</si>
  <si>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</si>
  <si>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</si>
  <si>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</si>
  <si>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</si>
  <si>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</si>
  <si>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</si>
  <si>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</si>
  <si>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</si>
  <si>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</si>
  <si>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</si>
  <si>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</si>
  <si>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</si>
  <si>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</si>
  <si>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</si>
  <si>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</si>
  <si>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</si>
  <si>
    <t xml:space="preserve">Total 2027</t>
  </si>
  <si>
    <t xml:space="preserve">Total 2028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</si>
</sst>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;\(0.0%\);\-"/>
    <numFmt numFmtId="167" formatCode="0"/>
    <numFmt numFmtId="168" formatCode="\$#,##0"/>
    <numFmt numFmtId="169" formatCode="#,##0;\(#,##0\);\-"/>
    <numFmt numFmtId="170" formatCode="#,##0.0;\(#,##0.0\);\-"/>
    <numFmt numFmtId="171" formatCode="\$#,##0.0;&quot;($&quot;#,##0.0\);\-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2761"/>
        <bgColor rgb="FF333333"/>
      </patternFill>
    </fill>
    <fill>
      <patternFill patternType="solid">
        <fgColor rgb="FFF3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8" min="5" style="0" width="9"/>
    <col collapsed="false" customWidth="true" hidden="false" outlineLevel="0" max="9" min="9" style="0" width="16"/>
    <col collapsed="false" customWidth="true" hidden="false" outlineLevel="0" max="10" min="10" style="0" width="55"/>
    <col collapsed="false" customWidth="true" hidden="false" outlineLevel="0" max="11" min="11" style="0" width="45"/>
  </cols>
  <sheetData>
    <row r="1" customFormat="false" ht="16.15" hidden="false" customHeight="false" outlineLevel="0" collapsed="false">
      <c r="A1" s="4" t="s">
        <v>20</v>
      </c>
    </row>
    <row r="3" customFormat="false" ht="15" hidden="false" customHeight="false" outlineLevel="0" collapsed="false">
      <c r="A3" s="5" t="s">
        <v>21</v>
      </c>
      <c r="C3" s="6" t="n">
        <v>2</v>
      </c>
    </row>
    <row r="5" customFormat="false" ht="15" hidden="false" customHeight="false" outlineLevel="0" collapsed="false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customFormat="false" ht="23.85" hidden="false" customHeight="false" outlineLevel="0" collapsed="false">
      <c r="A6" s="8" t="s">
        <v>33</v>
      </c>
      <c r="B6" s="8" t="s">
        <v>34</v>
      </c>
      <c r="C6" s="9" t="s">
        <v>35</v>
      </c>
      <c r="D6" s="8" t="s">
        <v>36</v>
      </c>
      <c r="E6" s="10" t="n">
        <v>0.95</v>
      </c>
      <c r="F6" s="10" t="n">
        <v>1</v>
      </c>
      <c r="G6" s="10" t="n">
        <v>1.05</v>
      </c>
      <c r="H6" s="11" t="n">
        <f aca="false">CHOOSE(Scenario,E6,F6,G6)</f>
        <v>1</v>
      </c>
      <c r="I6" s="8" t="s">
        <v>37</v>
      </c>
      <c r="J6" s="9" t="s">
        <v>38</v>
      </c>
      <c r="K6" s="9" t="s">
        <v>39</v>
      </c>
    </row>
    <row r="7" customFormat="false" ht="15" hidden="false" customHeight="false" outlineLevel="0" collapsed="false">
      <c r="A7" s="8" t="s">
        <v>40</v>
      </c>
      <c r="B7" s="8" t="s">
        <v>34</v>
      </c>
      <c r="C7" s="9" t="s">
        <v>41</v>
      </c>
      <c r="D7" s="8" t="s">
        <v>42</v>
      </c>
      <c r="E7" s="12" t="n">
        <v>0.015</v>
      </c>
      <c r="F7" s="12" t="n">
        <v>0.023</v>
      </c>
      <c r="G7" s="12" t="n">
        <v>0.03</v>
      </c>
      <c r="H7" s="13" t="n">
        <f aca="false">CHOOSE(Scenario,E7,F7,G7)</f>
        <v>0.023</v>
      </c>
      <c r="I7" s="8" t="s">
        <v>37</v>
      </c>
      <c r="J7" s="9" t="s">
        <v>43</v>
      </c>
      <c r="K7" s="9" t="s">
        <v>44</v>
      </c>
    </row>
    <row r="8" customFormat="false" ht="23.85" hidden="false" customHeight="false" outlineLevel="0" collapsed="false">
      <c r="A8" s="8" t="s">
        <v>45</v>
      </c>
      <c r="B8" s="8" t="s">
        <v>34</v>
      </c>
      <c r="C8" s="9" t="s">
        <v>46</v>
      </c>
      <c r="D8" s="8" t="s">
        <v>47</v>
      </c>
      <c r="E8" s="12" t="n">
        <v>0.95</v>
      </c>
      <c r="F8" s="12" t="n">
        <v>0.97</v>
      </c>
      <c r="G8" s="12" t="n">
        <v>0.98</v>
      </c>
      <c r="H8" s="13" t="n">
        <f aca="false">CHOOSE(Scenario,E8,F8,G8)</f>
        <v>0.97</v>
      </c>
      <c r="I8" s="8" t="s">
        <v>37</v>
      </c>
      <c r="J8" s="9" t="s">
        <v>48</v>
      </c>
      <c r="K8" s="9" t="s">
        <v>49</v>
      </c>
    </row>
    <row r="9" customFormat="false" ht="23.85" hidden="false" customHeight="false" outlineLevel="0" collapsed="false">
      <c r="A9" s="8" t="s">
        <v>50</v>
      </c>
      <c r="B9" s="8" t="s">
        <v>51</v>
      </c>
      <c r="C9" s="9" t="s">
        <v>52</v>
      </c>
      <c r="D9" s="8" t="s">
        <v>53</v>
      </c>
      <c r="E9" s="12" t="n">
        <v>0.82</v>
      </c>
      <c r="F9" s="12" t="n">
        <v>0.86</v>
      </c>
      <c r="G9" s="12" t="n">
        <v>0.89</v>
      </c>
      <c r="H9" s="13" t="n">
        <f aca="false">CHOOSE(Scenario,E9,F9,G9)</f>
        <v>0.86</v>
      </c>
      <c r="I9" s="8" t="s">
        <v>37</v>
      </c>
      <c r="J9" s="9" t="s">
        <v>48</v>
      </c>
      <c r="K9" s="9" t="s">
        <v>54</v>
      </c>
    </row>
    <row r="10" customFormat="false" ht="23.85" hidden="false" customHeight="false" outlineLevel="0" collapsed="false">
      <c r="A10" s="8" t="s">
        <v>55</v>
      </c>
      <c r="B10" s="8" t="s">
        <v>51</v>
      </c>
      <c r="C10" s="9" t="s">
        <v>56</v>
      </c>
      <c r="D10" s="8" t="s">
        <v>57</v>
      </c>
      <c r="E10" s="12" t="n">
        <v>0.26</v>
      </c>
      <c r="F10" s="12" t="n">
        <v>0.31</v>
      </c>
      <c r="G10" s="12" t="n">
        <v>0.36</v>
      </c>
      <c r="H10" s="13" t="n">
        <f aca="false">CHOOSE(Scenario,E10,F10,G10)</f>
        <v>0.31</v>
      </c>
      <c r="I10" s="8" t="s">
        <v>58</v>
      </c>
      <c r="J10" s="9" t="s">
        <v>59</v>
      </c>
      <c r="K10" s="9" t="s">
        <v>60</v>
      </c>
    </row>
    <row r="11" customFormat="false" ht="15" hidden="false" customHeight="false" outlineLevel="0" collapsed="false">
      <c r="A11" s="8" t="s">
        <v>61</v>
      </c>
      <c r="B11" s="8" t="s">
        <v>51</v>
      </c>
      <c r="C11" s="9" t="s">
        <v>62</v>
      </c>
      <c r="D11" s="8" t="s">
        <v>63</v>
      </c>
      <c r="E11" s="12" t="n">
        <v>0.43</v>
      </c>
      <c r="F11" s="12" t="n">
        <v>0.5</v>
      </c>
      <c r="G11" s="12" t="n">
        <v>0.57</v>
      </c>
      <c r="H11" s="13" t="n">
        <f aca="false">CHOOSE(Scenario,E11,F11,G11)</f>
        <v>0.5</v>
      </c>
      <c r="I11" s="8" t="s">
        <v>64</v>
      </c>
      <c r="J11" s="9" t="s">
        <v>65</v>
      </c>
      <c r="K11" s="9" t="s">
        <v>66</v>
      </c>
    </row>
    <row r="12" customFormat="false" ht="15" hidden="false" customHeight="false" outlineLevel="0" collapsed="false">
      <c r="A12" s="8" t="s">
        <v>67</v>
      </c>
      <c r="B12" s="8" t="s">
        <v>51</v>
      </c>
      <c r="C12" s="9" t="s">
        <v>68</v>
      </c>
      <c r="D12" s="8" t="s">
        <v>69</v>
      </c>
      <c r="E12" s="10" t="n">
        <v>1.14</v>
      </c>
      <c r="F12" s="10" t="n">
        <v>1.24</v>
      </c>
      <c r="G12" s="10" t="n">
        <v>1.34</v>
      </c>
      <c r="H12" s="11" t="n">
        <f aca="false">CHOOSE(Scenario,E12,F12,G12)</f>
        <v>1.24</v>
      </c>
      <c r="I12" s="8" t="s">
        <v>37</v>
      </c>
      <c r="J12" s="9" t="s">
        <v>70</v>
      </c>
      <c r="K12" s="9" t="s">
        <v>71</v>
      </c>
    </row>
    <row r="13" customFormat="false" ht="15" hidden="false" customHeight="false" outlineLevel="0" collapsed="false">
      <c r="A13" s="8" t="s">
        <v>72</v>
      </c>
      <c r="B13" s="8" t="s">
        <v>51</v>
      </c>
      <c r="C13" s="9" t="s">
        <v>73</v>
      </c>
      <c r="D13" s="8" t="s">
        <v>74</v>
      </c>
      <c r="E13" s="14" t="n">
        <v>1</v>
      </c>
      <c r="F13" s="14" t="n">
        <v>1</v>
      </c>
      <c r="G13" s="14" t="n">
        <v>1</v>
      </c>
      <c r="H13" s="15" t="n">
        <f aca="false">CHOOSE(Scenario,E13,F13,G13)</f>
        <v>1</v>
      </c>
      <c r="I13" s="8" t="s">
        <v>75</v>
      </c>
      <c r="J13" s="9" t="s">
        <v>76</v>
      </c>
      <c r="K13" s="9" t="s">
        <v>77</v>
      </c>
    </row>
    <row r="14" customFormat="false" ht="23.85" hidden="false" customHeight="false" outlineLevel="0" collapsed="false">
      <c r="A14" s="8" t="s">
        <v>78</v>
      </c>
      <c r="B14" s="8" t="s">
        <v>79</v>
      </c>
      <c r="C14" s="9" t="s">
        <v>80</v>
      </c>
      <c r="D14" s="8" t="s">
        <v>81</v>
      </c>
      <c r="E14" s="14" t="n">
        <v>2027</v>
      </c>
      <c r="F14" s="14" t="n">
        <v>2027</v>
      </c>
      <c r="G14" s="14" t="n">
        <v>2027</v>
      </c>
      <c r="H14" s="15" t="n">
        <f aca="false">CHOOSE(Scenario,E14,F14,G14)</f>
        <v>2027</v>
      </c>
      <c r="I14" s="8" t="s">
        <v>82</v>
      </c>
      <c r="J14" s="9" t="s">
        <v>83</v>
      </c>
      <c r="K14" s="9" t="s">
        <v>84</v>
      </c>
    </row>
    <row r="15" customFormat="false" ht="23.85" hidden="false" customHeight="false" outlineLevel="0" collapsed="false">
      <c r="A15" s="8" t="s">
        <v>85</v>
      </c>
      <c r="B15" s="8" t="s">
        <v>79</v>
      </c>
      <c r="C15" s="9" t="s">
        <v>86</v>
      </c>
      <c r="D15" s="8" t="s">
        <v>81</v>
      </c>
      <c r="E15" s="14" t="n">
        <v>2030</v>
      </c>
      <c r="F15" s="14" t="n">
        <v>2029</v>
      </c>
      <c r="G15" s="14" t="n">
        <v>2028</v>
      </c>
      <c r="H15" s="15" t="n">
        <f aca="false">CHOOSE(Scenario,E15,F15,G15)</f>
        <v>2029</v>
      </c>
      <c r="I15" s="8" t="s">
        <v>82</v>
      </c>
      <c r="J15" s="9" t="s">
        <v>87</v>
      </c>
      <c r="K15" s="9" t="s">
        <v>88</v>
      </c>
    </row>
    <row r="16" customFormat="false" ht="23.85" hidden="false" customHeight="false" outlineLevel="0" collapsed="false">
      <c r="A16" s="8" t="s">
        <v>89</v>
      </c>
      <c r="B16" s="8" t="s">
        <v>79</v>
      </c>
      <c r="C16" s="9" t="s">
        <v>90</v>
      </c>
      <c r="D16" s="8" t="s">
        <v>91</v>
      </c>
      <c r="E16" s="12" t="n">
        <v>0.1</v>
      </c>
      <c r="F16" s="12" t="n">
        <v>0.15</v>
      </c>
      <c r="G16" s="12" t="n">
        <v>0.2</v>
      </c>
      <c r="H16" s="13" t="n">
        <f aca="false">CHOOSE(Scenario,E16,F16,G16)</f>
        <v>0.15</v>
      </c>
      <c r="I16" s="8" t="s">
        <v>92</v>
      </c>
      <c r="J16" s="9" t="s">
        <v>93</v>
      </c>
      <c r="K16" s="9" t="s">
        <v>94</v>
      </c>
    </row>
    <row r="17" customFormat="false" ht="23.85" hidden="false" customHeight="false" outlineLevel="0" collapsed="false">
      <c r="A17" s="8" t="s">
        <v>95</v>
      </c>
      <c r="B17" s="8" t="s">
        <v>79</v>
      </c>
      <c r="C17" s="9" t="s">
        <v>96</v>
      </c>
      <c r="D17" s="8" t="s">
        <v>91</v>
      </c>
      <c r="E17" s="12" t="n">
        <v>0.06</v>
      </c>
      <c r="F17" s="12" t="n">
        <v>0.1</v>
      </c>
      <c r="G17" s="12" t="n">
        <v>0.14</v>
      </c>
      <c r="H17" s="13" t="n">
        <f aca="false">CHOOSE(Scenario,E17,F17,G17)</f>
        <v>0.1</v>
      </c>
      <c r="I17" s="8" t="s">
        <v>97</v>
      </c>
      <c r="J17" s="9" t="s">
        <v>98</v>
      </c>
      <c r="K17" s="9" t="s">
        <v>99</v>
      </c>
    </row>
    <row r="18" customFormat="false" ht="23.85" hidden="false" customHeight="false" outlineLevel="0" collapsed="false">
      <c r="A18" s="8" t="s">
        <v>100</v>
      </c>
      <c r="B18" s="8" t="s">
        <v>79</v>
      </c>
      <c r="C18" s="9" t="s">
        <v>101</v>
      </c>
      <c r="D18" s="8" t="s">
        <v>102</v>
      </c>
      <c r="E18" s="12" t="n">
        <v>0.15</v>
      </c>
      <c r="F18" s="12" t="n">
        <v>0.3</v>
      </c>
      <c r="G18" s="12" t="n">
        <v>0.37</v>
      </c>
      <c r="H18" s="13" t="n">
        <f aca="false">CHOOSE(Scenario,E18,F18,G18)</f>
        <v>0.3</v>
      </c>
      <c r="I18" s="8" t="s">
        <v>103</v>
      </c>
      <c r="J18" s="9" t="s">
        <v>104</v>
      </c>
      <c r="K18" s="9" t="s">
        <v>105</v>
      </c>
    </row>
    <row r="19" customFormat="false" ht="15" hidden="false" customHeight="false" outlineLevel="0" collapsed="false">
      <c r="A19" s="8" t="s">
        <v>106</v>
      </c>
      <c r="B19" s="8" t="s">
        <v>79</v>
      </c>
      <c r="C19" s="9" t="s">
        <v>107</v>
      </c>
      <c r="D19" s="8" t="s">
        <v>102</v>
      </c>
      <c r="E19" s="12" t="n">
        <v>0.6</v>
      </c>
      <c r="F19" s="12" t="n">
        <v>0.9</v>
      </c>
      <c r="G19" s="12" t="n">
        <v>0.95</v>
      </c>
      <c r="H19" s="13" t="n">
        <f aca="false">CHOOSE(Scenario,E19,F19,G19)</f>
        <v>0.9</v>
      </c>
      <c r="I19" s="8" t="s">
        <v>103</v>
      </c>
      <c r="J19" s="9" t="s">
        <v>108</v>
      </c>
      <c r="K19" s="9"/>
    </row>
    <row r="20" customFormat="false" ht="15" hidden="false" customHeight="false" outlineLevel="0" collapsed="false">
      <c r="A20" s="8" t="s">
        <v>109</v>
      </c>
      <c r="B20" s="8" t="s">
        <v>79</v>
      </c>
      <c r="C20" s="9" t="s">
        <v>110</v>
      </c>
      <c r="D20" s="8" t="s">
        <v>102</v>
      </c>
      <c r="E20" s="12" t="n">
        <v>0.95</v>
      </c>
      <c r="F20" s="12" t="n">
        <v>1</v>
      </c>
      <c r="G20" s="12" t="n">
        <v>1</v>
      </c>
      <c r="H20" s="13" t="n">
        <f aca="false">CHOOSE(Scenario,E20,F20,G20)</f>
        <v>1</v>
      </c>
      <c r="I20" s="8" t="s">
        <v>103</v>
      </c>
      <c r="J20" s="9" t="s">
        <v>111</v>
      </c>
      <c r="K20" s="9"/>
    </row>
    <row r="21" customFormat="false" ht="15" hidden="false" customHeight="false" outlineLevel="0" collapsed="false">
      <c r="A21" s="8" t="s">
        <v>112</v>
      </c>
      <c r="B21" s="8" t="s">
        <v>79</v>
      </c>
      <c r="C21" s="9" t="s">
        <v>113</v>
      </c>
      <c r="D21" s="8" t="s">
        <v>102</v>
      </c>
      <c r="E21" s="12" t="n">
        <v>1</v>
      </c>
      <c r="F21" s="12" t="n">
        <v>1</v>
      </c>
      <c r="G21" s="12" t="n">
        <v>1</v>
      </c>
      <c r="H21" s="13" t="n">
        <f aca="false">CHOOSE(Scenario,E21,F21,G21)</f>
        <v>1</v>
      </c>
      <c r="I21" s="8" t="s">
        <v>103</v>
      </c>
      <c r="J21" s="9" t="s">
        <v>114</v>
      </c>
      <c r="K21" s="9" t="s">
        <v>115</v>
      </c>
    </row>
    <row r="22" customFormat="false" ht="23.85" hidden="false" customHeight="false" outlineLevel="0" collapsed="false">
      <c r="A22" s="8" t="s">
        <v>116</v>
      </c>
      <c r="B22" s="8" t="s">
        <v>117</v>
      </c>
      <c r="C22" s="9" t="s">
        <v>118</v>
      </c>
      <c r="D22" s="8" t="s">
        <v>119</v>
      </c>
      <c r="E22" s="12" t="n">
        <v>0.55</v>
      </c>
      <c r="F22" s="12" t="n">
        <v>0.7</v>
      </c>
      <c r="G22" s="12" t="n">
        <v>0.85</v>
      </c>
      <c r="H22" s="13" t="n">
        <f aca="false">CHOOSE(Scenario,E22,F22,G22)</f>
        <v>0.7</v>
      </c>
      <c r="I22" s="8" t="s">
        <v>64</v>
      </c>
      <c r="J22" s="9" t="s">
        <v>120</v>
      </c>
      <c r="K22" s="9" t="s">
        <v>121</v>
      </c>
    </row>
    <row r="23" customFormat="false" ht="15" hidden="false" customHeight="false" outlineLevel="0" collapsed="false">
      <c r="A23" s="8" t="s">
        <v>122</v>
      </c>
      <c r="B23" s="8" t="s">
        <v>117</v>
      </c>
      <c r="C23" s="9" t="s">
        <v>123</v>
      </c>
      <c r="D23" s="8" t="s">
        <v>119</v>
      </c>
      <c r="E23" s="12" t="n">
        <v>0.9</v>
      </c>
      <c r="F23" s="12" t="n">
        <v>0.95</v>
      </c>
      <c r="G23" s="12" t="n">
        <v>0.97</v>
      </c>
      <c r="H23" s="13" t="n">
        <f aca="false">CHOOSE(Scenario,E23,F23,G23)</f>
        <v>0.95</v>
      </c>
      <c r="I23" s="8" t="s">
        <v>97</v>
      </c>
      <c r="J23" s="9" t="s">
        <v>124</v>
      </c>
      <c r="K23" s="9"/>
    </row>
    <row r="24" customFormat="false" ht="23.85" hidden="false" customHeight="false" outlineLevel="0" collapsed="false">
      <c r="A24" s="8" t="s">
        <v>125</v>
      </c>
      <c r="B24" s="8" t="s">
        <v>126</v>
      </c>
      <c r="C24" s="9" t="s">
        <v>127</v>
      </c>
      <c r="D24" s="8" t="s">
        <v>128</v>
      </c>
      <c r="E24" s="10" t="n">
        <v>5</v>
      </c>
      <c r="F24" s="10" t="n">
        <v>6</v>
      </c>
      <c r="G24" s="10" t="n">
        <v>7.5</v>
      </c>
      <c r="H24" s="11" t="n">
        <f aca="false">CHOOSE(Scenario,E24,F24,G24)</f>
        <v>6</v>
      </c>
      <c r="I24" s="8" t="s">
        <v>129</v>
      </c>
      <c r="J24" s="9" t="s">
        <v>130</v>
      </c>
      <c r="K24" s="9" t="s">
        <v>131</v>
      </c>
    </row>
    <row r="25" customFormat="false" ht="15" hidden="false" customHeight="false" outlineLevel="0" collapsed="false">
      <c r="A25" s="8" t="s">
        <v>132</v>
      </c>
      <c r="B25" s="8" t="s">
        <v>126</v>
      </c>
      <c r="C25" s="9" t="s">
        <v>133</v>
      </c>
      <c r="D25" s="8" t="s">
        <v>134</v>
      </c>
      <c r="E25" s="12" t="n">
        <v>0.92</v>
      </c>
      <c r="F25" s="12" t="n">
        <v>0.95</v>
      </c>
      <c r="G25" s="12" t="n">
        <v>0.97</v>
      </c>
      <c r="H25" s="13" t="n">
        <f aca="false">CHOOSE(Scenario,E25,F25,G25)</f>
        <v>0.95</v>
      </c>
      <c r="I25" s="8" t="s">
        <v>97</v>
      </c>
      <c r="J25" s="9" t="s">
        <v>135</v>
      </c>
      <c r="K25" s="9"/>
    </row>
    <row r="26" customFormat="false" ht="15" hidden="false" customHeight="false" outlineLevel="0" collapsed="false">
      <c r="A26" s="8" t="s">
        <v>136</v>
      </c>
      <c r="B26" s="8" t="s">
        <v>137</v>
      </c>
      <c r="C26" s="9" t="s">
        <v>138</v>
      </c>
      <c r="D26" s="8" t="s">
        <v>139</v>
      </c>
      <c r="E26" s="16" t="n">
        <v>18500</v>
      </c>
      <c r="F26" s="16" t="n">
        <v>18500</v>
      </c>
      <c r="G26" s="16" t="n">
        <v>18500</v>
      </c>
      <c r="H26" s="17" t="n">
        <f aca="false">CHOOSE(Scenario,E26,F26,G26)</f>
        <v>18500</v>
      </c>
      <c r="I26" s="8" t="s">
        <v>140</v>
      </c>
      <c r="J26" s="9" t="s">
        <v>141</v>
      </c>
      <c r="K26" s="9" t="s">
        <v>142</v>
      </c>
    </row>
    <row r="27" customFormat="false" ht="15" hidden="false" customHeight="false" outlineLevel="0" collapsed="false">
      <c r="A27" s="8" t="s">
        <v>143</v>
      </c>
      <c r="B27" s="8" t="s">
        <v>137</v>
      </c>
      <c r="C27" s="9" t="s">
        <v>144</v>
      </c>
      <c r="D27" s="8" t="s">
        <v>145</v>
      </c>
      <c r="E27" s="12" t="n">
        <v>0.72</v>
      </c>
      <c r="F27" s="12" t="n">
        <v>0.76</v>
      </c>
      <c r="G27" s="12" t="n">
        <v>0.8</v>
      </c>
      <c r="H27" s="13" t="n">
        <f aca="false">CHOOSE(Scenario,E27,F27,G27)</f>
        <v>0.76</v>
      </c>
      <c r="I27" s="8" t="s">
        <v>97</v>
      </c>
      <c r="J27" s="9" t="s">
        <v>146</v>
      </c>
      <c r="K27" s="9"/>
    </row>
    <row r="28" customFormat="false" ht="15" hidden="false" customHeight="false" outlineLevel="0" collapsed="false">
      <c r="A28" s="8" t="s">
        <v>147</v>
      </c>
      <c r="B28" s="8" t="s">
        <v>148</v>
      </c>
      <c r="C28" s="9" t="s">
        <v>149</v>
      </c>
      <c r="D28" s="8" t="s">
        <v>81</v>
      </c>
      <c r="E28" s="14" t="n">
        <v>2038</v>
      </c>
      <c r="F28" s="14" t="n">
        <v>2039</v>
      </c>
      <c r="G28" s="14" t="n">
        <v>2040</v>
      </c>
      <c r="H28" s="15" t="n">
        <f aca="false">CHOOSE(Scenario,E28,F28,G28)</f>
        <v>2039</v>
      </c>
      <c r="I28" s="8" t="s">
        <v>150</v>
      </c>
      <c r="J28" s="9" t="s">
        <v>151</v>
      </c>
      <c r="K28" s="9"/>
    </row>
    <row r="29" customFormat="false" ht="15" hidden="false" customHeight="false" outlineLevel="0" collapsed="false">
      <c r="A29" s="8" t="s">
        <v>152</v>
      </c>
      <c r="B29" s="8" t="s">
        <v>148</v>
      </c>
      <c r="C29" s="9" t="s">
        <v>153</v>
      </c>
      <c r="D29" s="8" t="s">
        <v>154</v>
      </c>
      <c r="E29" s="12" t="n">
        <v>0.65</v>
      </c>
      <c r="F29" s="12" t="n">
        <v>0.75</v>
      </c>
      <c r="G29" s="12" t="n">
        <v>0.85</v>
      </c>
      <c r="H29" s="13" t="n">
        <f aca="false">CHOOSE(Scenario,E29,F29,G29)</f>
        <v>0.75</v>
      </c>
      <c r="I29" s="8" t="s">
        <v>97</v>
      </c>
      <c r="J29" s="9" t="s">
        <v>155</v>
      </c>
      <c r="K29" s="9"/>
    </row>
    <row r="30" customFormat="false" ht="23.85" hidden="false" customHeight="false" outlineLevel="0" collapsed="false">
      <c r="A30" s="8" t="s">
        <v>156</v>
      </c>
      <c r="B30" s="8" t="s">
        <v>148</v>
      </c>
      <c r="C30" s="9" t="s">
        <v>157</v>
      </c>
      <c r="D30" s="8" t="s">
        <v>154</v>
      </c>
      <c r="E30" s="12" t="n">
        <v>0.25</v>
      </c>
      <c r="F30" s="12" t="n">
        <v>0.4</v>
      </c>
      <c r="G30" s="12" t="n">
        <v>0.55</v>
      </c>
      <c r="H30" s="13" t="n">
        <f aca="false">CHOOSE(Scenario,E30,F30,G30)</f>
        <v>0.4</v>
      </c>
      <c r="I30" s="8" t="s">
        <v>158</v>
      </c>
      <c r="J30" s="9" t="s">
        <v>159</v>
      </c>
      <c r="K30" s="9" t="s">
        <v>160</v>
      </c>
    </row>
    <row r="31" customFormat="false" ht="15" hidden="false" customHeight="false" outlineLevel="0" collapsed="false">
      <c r="A31" s="8" t="s">
        <v>161</v>
      </c>
      <c r="B31" s="8" t="s">
        <v>162</v>
      </c>
      <c r="C31" s="9" t="s">
        <v>163</v>
      </c>
      <c r="D31" s="8" t="s">
        <v>164</v>
      </c>
      <c r="E31" s="8"/>
      <c r="F31" s="8" t="s">
        <v>165</v>
      </c>
      <c r="G31" s="8"/>
      <c r="H31" s="8"/>
      <c r="I31" s="8" t="s">
        <v>75</v>
      </c>
      <c r="J31" s="9"/>
      <c r="K31" s="9" t="s">
        <v>166</v>
      </c>
    </row>
    <row r="32" customFormat="false" ht="15" hidden="false" customHeight="false" outlineLevel="0" collapsed="false">
      <c r="A32" s="8" t="s">
        <v>167</v>
      </c>
      <c r="B32" s="8" t="s">
        <v>162</v>
      </c>
      <c r="C32" s="9" t="s">
        <v>168</v>
      </c>
      <c r="D32" s="8" t="s">
        <v>164</v>
      </c>
      <c r="E32" s="8"/>
      <c r="F32" s="8" t="s">
        <v>169</v>
      </c>
      <c r="G32" s="8"/>
      <c r="H32" s="8"/>
      <c r="I32" s="8" t="s">
        <v>75</v>
      </c>
      <c r="J32" s="9"/>
      <c r="K32" s="9" t="s">
        <v>170</v>
      </c>
    </row>
    <row r="34" customFormat="false" ht="15" hidden="false" customHeight="false" outlineLevel="0" collapsed="false">
      <c r="A34" s="18" t="s">
        <v>171</v>
      </c>
    </row>
    <row r="35" customFormat="false" ht="15" hidden="false" customHeight="false" outlineLevel="0" collapsed="false">
      <c r="A35" s="0" t="s">
        <v>172</v>
      </c>
      <c r="F35" s="19" t="n">
        <v>250</v>
      </c>
      <c r="J35" s="20" t="s">
        <v>173</v>
      </c>
    </row>
    <row r="36" customFormat="false" ht="15" hidden="false" customHeight="false" outlineLevel="0" collapsed="false">
      <c r="A36" s="0" t="s">
        <v>174</v>
      </c>
      <c r="F36" s="19" t="n">
        <v>400</v>
      </c>
      <c r="J36" s="20" t="s">
        <v>173</v>
      </c>
    </row>
  </sheetData>
  <dataValidations count="1">
    <dataValidation allowBlank="false" error="Enter 1, 2 or 3" errorStyle="stop" operator="between" showDropDown="false" showErrorMessage="true" showInputMessage="false" sqref="C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1" t="s">
        <v>175</v>
      </c>
    </row>
    <row r="2" customFormat="false" ht="15" hidden="false" customHeight="false" outlineLevel="0" collapsed="false">
      <c r="A2" s="22" t="s">
        <v>176</v>
      </c>
    </row>
    <row r="4" customFormat="false" ht="15" hidden="false" customHeight="false" outlineLevel="0" collapsed="false">
      <c r="A4" s="23" t="s">
        <v>177</v>
      </c>
      <c r="B4" s="23" t="s">
        <v>178</v>
      </c>
    </row>
    <row r="5" customFormat="false" ht="15" hidden="false" customHeight="false" outlineLevel="0" collapsed="false">
      <c r="A5" s="2" t="s">
        <v>179</v>
      </c>
      <c r="B5" s="24" t="n">
        <v>20524</v>
      </c>
    </row>
    <row r="6" customFormat="false" ht="15" hidden="false" customHeight="false" outlineLevel="0" collapsed="false">
      <c r="A6" s="2" t="s">
        <v>180</v>
      </c>
      <c r="B6" s="24" t="n">
        <v>20974</v>
      </c>
    </row>
    <row r="7" customFormat="false" ht="15" hidden="false" customHeight="false" outlineLevel="0" collapsed="false">
      <c r="A7" s="2" t="s">
        <v>181</v>
      </c>
      <c r="B7" s="24" t="n">
        <v>21437</v>
      </c>
    </row>
    <row r="8" customFormat="false" ht="15" hidden="false" customHeight="false" outlineLevel="0" collapsed="false">
      <c r="A8" s="2" t="s">
        <v>182</v>
      </c>
      <c r="B8" s="24" t="n">
        <v>21913</v>
      </c>
    </row>
    <row r="9" customFormat="false" ht="15" hidden="false" customHeight="false" outlineLevel="0" collapsed="false">
      <c r="A9" s="2" t="s">
        <v>183</v>
      </c>
      <c r="B9" s="24" t="n">
        <v>22404</v>
      </c>
    </row>
    <row r="10" customFormat="false" ht="15" hidden="false" customHeight="false" outlineLevel="0" collapsed="false">
      <c r="A10" s="2" t="s">
        <v>184</v>
      </c>
      <c r="B10" s="24" t="n">
        <v>22910</v>
      </c>
    </row>
    <row r="11" customFormat="false" ht="15" hidden="false" customHeight="false" outlineLevel="0" collapsed="false">
      <c r="A11" s="2" t="s">
        <v>185</v>
      </c>
      <c r="B11" s="24" t="n">
        <v>23430</v>
      </c>
    </row>
    <row r="12" customFormat="false" ht="15" hidden="false" customHeight="false" outlineLevel="0" collapsed="false">
      <c r="A12" s="2" t="s">
        <v>186</v>
      </c>
      <c r="B12" s="24" t="n">
        <v>23966</v>
      </c>
    </row>
    <row r="13" customFormat="false" ht="15" hidden="false" customHeight="false" outlineLevel="0" collapsed="false">
      <c r="A13" s="2" t="s">
        <v>187</v>
      </c>
      <c r="B13" s="24" t="n">
        <v>24519</v>
      </c>
    </row>
    <row r="14" customFormat="false" ht="15" hidden="false" customHeight="false" outlineLevel="0" collapsed="false">
      <c r="A14" s="2" t="s">
        <v>188</v>
      </c>
      <c r="B14" s="25" t="n">
        <f aca="false">B13*(1+Case_growth)</f>
        <v>25082.937</v>
      </c>
    </row>
    <row r="15" customFormat="false" ht="15" hidden="false" customHeight="false" outlineLevel="0" collapsed="false">
      <c r="A15" s="2" t="s">
        <v>189</v>
      </c>
      <c r="B15" s="25" t="n">
        <f aca="false">B14*(1+Case_growth)</f>
        <v>25659.844551</v>
      </c>
    </row>
    <row r="16" customFormat="false" ht="15" hidden="false" customHeight="false" outlineLevel="0" collapsed="false">
      <c r="A16" s="2" t="s">
        <v>190</v>
      </c>
      <c r="B16" s="25" t="n">
        <f aca="false">B15*(1+Case_growth)</f>
        <v>26250.020975673</v>
      </c>
    </row>
    <row r="17" customFormat="false" ht="15" hidden="false" customHeight="false" outlineLevel="0" collapsed="false">
      <c r="A17" s="2" t="s">
        <v>191</v>
      </c>
      <c r="B17" s="25" t="n">
        <f aca="false">B16*(1+Case_growth)</f>
        <v>26853.7714581135</v>
      </c>
    </row>
    <row r="18" customFormat="false" ht="15" hidden="false" customHeight="false" outlineLevel="0" collapsed="false">
      <c r="A18" s="2" t="s">
        <v>192</v>
      </c>
      <c r="B18" s="25" t="n">
        <f aca="false">B17*(1+Case_growth)</f>
        <v>27471.4082016501</v>
      </c>
    </row>
    <row r="19" customFormat="false" ht="15" hidden="false" customHeight="false" outlineLevel="0" collapsed="false">
      <c r="A19" s="2" t="s">
        <v>193</v>
      </c>
      <c r="B19" s="25" t="n">
        <f aca="false">B18*(1+Case_growth)</f>
        <v>28103.250590288</v>
      </c>
    </row>
    <row r="20" customFormat="false" ht="15" hidden="false" customHeight="false" outlineLevel="0" collapsed="false">
      <c r="A20" s="2" t="s">
        <v>194</v>
      </c>
      <c r="B20" s="25" t="n">
        <f aca="false">B19*(1+Case_growth)</f>
        <v>28749.6253538647</v>
      </c>
    </row>
    <row r="21" customFormat="false" ht="15" hidden="false" customHeight="false" outlineLevel="0" collapsed="false">
      <c r="A21" s="2" t="s">
        <v>195</v>
      </c>
      <c r="B21" s="25" t="n">
        <f aca="false">B20*(1+Case_growth)</f>
        <v>29410.8667370035</v>
      </c>
    </row>
    <row r="22" customFormat="false" ht="15" hidden="false" customHeight="false" outlineLevel="0" collapsed="false">
      <c r="A22" s="2" t="s">
        <v>196</v>
      </c>
      <c r="B22" s="25" t="n">
        <f aca="false">B21*(1+Case_growth)</f>
        <v>30087.3166719546</v>
      </c>
    </row>
    <row r="23" customFormat="false" ht="15" hidden="false" customHeight="false" outlineLevel="0" collapsed="false">
      <c r="A23" s="2" t="s">
        <v>197</v>
      </c>
      <c r="B23" s="25" t="n">
        <f aca="false">B22*(1+Case_growth)</f>
        <v>30779.3249554096</v>
      </c>
    </row>
    <row r="24" customFormat="false" ht="15" hidden="false" customHeight="false" outlineLevel="0" collapsed="false">
      <c r="A24" s="2" t="s">
        <v>198</v>
      </c>
      <c r="B24" s="25" t="n">
        <f aca="false">B23*(1+Case_growth)</f>
        <v>31487.249429384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1" min="2" style="0" width="10"/>
  </cols>
  <sheetData>
    <row r="1" customFormat="false" ht="15" hidden="false" customHeight="false" outlineLevel="0" collapsed="false">
      <c r="A1" s="21" t="s">
        <v>199</v>
      </c>
    </row>
    <row r="3" customFormat="false" ht="15" hidden="false" customHeight="false" outlineLevel="0" collapsed="false">
      <c r="A3" s="26"/>
      <c r="B3" s="27" t="s">
        <v>179</v>
      </c>
      <c r="C3" s="27" t="s">
        <v>180</v>
      </c>
      <c r="D3" s="27" t="s">
        <v>181</v>
      </c>
      <c r="E3" s="27" t="s">
        <v>182</v>
      </c>
      <c r="F3" s="27" t="s">
        <v>183</v>
      </c>
      <c r="G3" s="27" t="s">
        <v>184</v>
      </c>
      <c r="H3" s="27" t="s">
        <v>185</v>
      </c>
      <c r="I3" s="27" t="s">
        <v>186</v>
      </c>
      <c r="J3" s="27" t="s">
        <v>187</v>
      </c>
      <c r="K3" s="27" t="s">
        <v>188</v>
      </c>
      <c r="L3" s="27" t="s">
        <v>189</v>
      </c>
      <c r="M3" s="27" t="s">
        <v>190</v>
      </c>
      <c r="N3" s="27" t="s">
        <v>191</v>
      </c>
      <c r="O3" s="27" t="s">
        <v>192</v>
      </c>
      <c r="P3" s="27" t="s">
        <v>193</v>
      </c>
      <c r="Q3" s="27" t="s">
        <v>194</v>
      </c>
      <c r="R3" s="27" t="s">
        <v>195</v>
      </c>
      <c r="S3" s="27" t="s">
        <v>196</v>
      </c>
      <c r="T3" s="27" t="s">
        <v>197</v>
      </c>
      <c r="U3" s="27" t="s">
        <v>198</v>
      </c>
    </row>
    <row r="4" customFormat="false" ht="15" hidden="false" customHeight="false" outlineLevel="0" collapsed="false">
      <c r="A4" s="2" t="s">
        <v>178</v>
      </c>
      <c r="B4" s="28" t="n">
        <f aca="false">Epi_Inputs!B5*Cases_multiplier</f>
        <v>20524</v>
      </c>
      <c r="C4" s="28" t="n">
        <f aca="false">Epi_Inputs!B6*Cases_multiplier</f>
        <v>20974</v>
      </c>
      <c r="D4" s="28" t="n">
        <f aca="false">Epi_Inputs!B7*Cases_multiplier</f>
        <v>21437</v>
      </c>
      <c r="E4" s="28" t="n">
        <f aca="false">Epi_Inputs!B8*Cases_multiplier</f>
        <v>21913</v>
      </c>
      <c r="F4" s="28" t="n">
        <f aca="false">Epi_Inputs!B9*Cases_multiplier</f>
        <v>22404</v>
      </c>
      <c r="G4" s="28" t="n">
        <f aca="false">Epi_Inputs!B10*Cases_multiplier</f>
        <v>22910</v>
      </c>
      <c r="H4" s="28" t="n">
        <f aca="false">Epi_Inputs!B11*Cases_multiplier</f>
        <v>23430</v>
      </c>
      <c r="I4" s="28" t="n">
        <f aca="false">Epi_Inputs!B12*Cases_multiplier</f>
        <v>23966</v>
      </c>
      <c r="J4" s="28" t="n">
        <f aca="false">Epi_Inputs!B13*Cases_multiplier</f>
        <v>24519</v>
      </c>
      <c r="K4" s="28" t="n">
        <f aca="false">Epi_Inputs!B14*Cases_multiplier</f>
        <v>25082.937</v>
      </c>
      <c r="L4" s="28" t="n">
        <f aca="false">Epi_Inputs!B15*Cases_multiplier</f>
        <v>25659.844551</v>
      </c>
      <c r="M4" s="28" t="n">
        <f aca="false">Epi_Inputs!B16*Cases_multiplier</f>
        <v>26250.020975673</v>
      </c>
      <c r="N4" s="28" t="n">
        <f aca="false">Epi_Inputs!B17*Cases_multiplier</f>
        <v>26853.7714581135</v>
      </c>
      <c r="O4" s="28" t="n">
        <f aca="false">Epi_Inputs!B18*Cases_multiplier</f>
        <v>27471.4082016501</v>
      </c>
      <c r="P4" s="28" t="n">
        <f aca="false">Epi_Inputs!B19*Cases_multiplier</f>
        <v>28103.250590288</v>
      </c>
      <c r="Q4" s="28" t="n">
        <f aca="false">Epi_Inputs!B20*Cases_multiplier</f>
        <v>28749.6253538647</v>
      </c>
      <c r="R4" s="28" t="n">
        <f aca="false">Epi_Inputs!B21*Cases_multiplier</f>
        <v>29410.8667370035</v>
      </c>
      <c r="S4" s="28" t="n">
        <f aca="false">Epi_Inputs!B22*Cases_multiplier</f>
        <v>30087.3166719546</v>
      </c>
      <c r="T4" s="28" t="n">
        <f aca="false">Epi_Inputs!B23*Cases_multiplier</f>
        <v>30779.3249554096</v>
      </c>
      <c r="U4" s="28" t="n">
        <f aca="false">Epi_Inputs!B24*Cases_multiplier</f>
        <v>31487.249429384</v>
      </c>
    </row>
    <row r="5" customFormat="false" ht="15" hidden="false" customHeight="false" outlineLevel="0" collapsed="false">
      <c r="A5" s="2" t="s">
        <v>46</v>
      </c>
      <c r="B5" s="25" t="n">
        <f aca="false">B4*Diagnosed</f>
        <v>19908.28</v>
      </c>
      <c r="C5" s="25" t="n">
        <f aca="false">C4*Diagnosed</f>
        <v>20344.78</v>
      </c>
      <c r="D5" s="25" t="n">
        <f aca="false">D4*Diagnosed</f>
        <v>20793.89</v>
      </c>
      <c r="E5" s="25" t="n">
        <f aca="false">E4*Diagnosed</f>
        <v>21255.61</v>
      </c>
      <c r="F5" s="25" t="n">
        <f aca="false">F4*Diagnosed</f>
        <v>21731.88</v>
      </c>
      <c r="G5" s="25" t="n">
        <f aca="false">G4*Diagnosed</f>
        <v>22222.7</v>
      </c>
      <c r="H5" s="25" t="n">
        <f aca="false">H4*Diagnosed</f>
        <v>22727.1</v>
      </c>
      <c r="I5" s="25" t="n">
        <f aca="false">I4*Diagnosed</f>
        <v>23247.02</v>
      </c>
      <c r="J5" s="25" t="n">
        <f aca="false">J4*Diagnosed</f>
        <v>23783.43</v>
      </c>
      <c r="K5" s="25" t="n">
        <f aca="false">K4*Diagnosed</f>
        <v>24330.44889</v>
      </c>
      <c r="L5" s="25" t="n">
        <f aca="false">L4*Diagnosed</f>
        <v>24890.04921447</v>
      </c>
      <c r="M5" s="25" t="n">
        <f aca="false">M4*Diagnosed</f>
        <v>25462.5203464028</v>
      </c>
      <c r="N5" s="25" t="n">
        <f aca="false">N4*Diagnosed</f>
        <v>26048.1583143701</v>
      </c>
      <c r="O5" s="25" t="n">
        <f aca="false">O4*Diagnosed</f>
        <v>26647.2659556006</v>
      </c>
      <c r="P5" s="25" t="n">
        <f aca="false">P4*Diagnosed</f>
        <v>27260.1530725794</v>
      </c>
      <c r="Q5" s="25" t="n">
        <f aca="false">Q4*Diagnosed</f>
        <v>27887.1365932487</v>
      </c>
      <c r="R5" s="25" t="n">
        <f aca="false">R4*Diagnosed</f>
        <v>28528.5407348934</v>
      </c>
      <c r="S5" s="25" t="n">
        <f aca="false">S4*Diagnosed</f>
        <v>29184.697171796</v>
      </c>
      <c r="T5" s="25" t="n">
        <f aca="false">T4*Diagnosed</f>
        <v>29855.9452067473</v>
      </c>
      <c r="U5" s="25" t="n">
        <f aca="false">U4*Diagnosed</f>
        <v>30542.6319465025</v>
      </c>
    </row>
    <row r="6" customFormat="false" ht="15" hidden="false" customHeight="false" outlineLevel="0" collapsed="false">
      <c r="A6" s="2" t="s">
        <v>52</v>
      </c>
      <c r="B6" s="25" t="n">
        <f aca="false">B5*Treated_1L</f>
        <v>17121.1208</v>
      </c>
      <c r="C6" s="25" t="n">
        <f aca="false">C5*Treated_1L</f>
        <v>17496.5108</v>
      </c>
      <c r="D6" s="25" t="n">
        <f aca="false">D5*Treated_1L</f>
        <v>17882.7454</v>
      </c>
      <c r="E6" s="25" t="n">
        <f aca="false">E5*Treated_1L</f>
        <v>18279.8246</v>
      </c>
      <c r="F6" s="25" t="n">
        <f aca="false">F5*Treated_1L</f>
        <v>18689.4168</v>
      </c>
      <c r="G6" s="25" t="n">
        <f aca="false">G5*Treated_1L</f>
        <v>19111.522</v>
      </c>
      <c r="H6" s="25" t="n">
        <f aca="false">H5*Treated_1L</f>
        <v>19545.306</v>
      </c>
      <c r="I6" s="25" t="n">
        <f aca="false">I5*Treated_1L</f>
        <v>19992.4372</v>
      </c>
      <c r="J6" s="25" t="n">
        <f aca="false">J5*Treated_1L</f>
        <v>20453.7498</v>
      </c>
      <c r="K6" s="25" t="n">
        <f aca="false">K5*Treated_1L</f>
        <v>20924.1860454</v>
      </c>
      <c r="L6" s="25" t="n">
        <f aca="false">L5*Treated_1L</f>
        <v>21405.4423244442</v>
      </c>
      <c r="M6" s="25" t="n">
        <f aca="false">M5*Treated_1L</f>
        <v>21897.7674979064</v>
      </c>
      <c r="N6" s="25" t="n">
        <f aca="false">N5*Treated_1L</f>
        <v>22401.4161503583</v>
      </c>
      <c r="O6" s="25" t="n">
        <f aca="false">O5*Treated_1L</f>
        <v>22916.6487218165</v>
      </c>
      <c r="P6" s="25" t="n">
        <f aca="false">P5*Treated_1L</f>
        <v>23443.7316424183</v>
      </c>
      <c r="Q6" s="25" t="n">
        <f aca="false">Q5*Treated_1L</f>
        <v>23982.9374701939</v>
      </c>
      <c r="R6" s="25" t="n">
        <f aca="false">R5*Treated_1L</f>
        <v>24534.5450320083</v>
      </c>
      <c r="S6" s="25" t="n">
        <f aca="false">S5*Treated_1L</f>
        <v>25098.8395677445</v>
      </c>
      <c r="T6" s="25" t="n">
        <f aca="false">T5*Treated_1L</f>
        <v>25676.1128778027</v>
      </c>
      <c r="U6" s="25" t="n">
        <f aca="false">U5*Treated_1L</f>
        <v>26266.6634739921</v>
      </c>
    </row>
    <row r="7" customFormat="false" ht="15" hidden="false" customHeight="false" outlineLevel="0" collapsed="false">
      <c r="A7" s="5" t="s">
        <v>200</v>
      </c>
      <c r="B7" s="29"/>
      <c r="C7" s="25" t="n">
        <f aca="false">B6*Progress_2L</f>
        <v>5307.547448</v>
      </c>
      <c r="D7" s="25" t="n">
        <f aca="false">C6*Progress_2L</f>
        <v>5423.918348</v>
      </c>
      <c r="E7" s="25" t="n">
        <f aca="false">D6*Progress_2L</f>
        <v>5543.651074</v>
      </c>
      <c r="F7" s="25" t="n">
        <f aca="false">E6*Progress_2L</f>
        <v>5666.745626</v>
      </c>
      <c r="G7" s="25" t="n">
        <f aca="false">F6*Progress_2L</f>
        <v>5793.719208</v>
      </c>
      <c r="H7" s="25" t="n">
        <f aca="false">G6*Progress_2L</f>
        <v>5924.57182</v>
      </c>
      <c r="I7" s="25" t="n">
        <f aca="false">H6*Progress_2L</f>
        <v>6059.04486</v>
      </c>
      <c r="J7" s="25" t="n">
        <f aca="false">I6*Progress_2L</f>
        <v>6197.655532</v>
      </c>
      <c r="K7" s="25" t="n">
        <f aca="false">J6*Progress_2L</f>
        <v>6340.662438</v>
      </c>
      <c r="L7" s="25" t="n">
        <f aca="false">K6*Progress_2L</f>
        <v>6486.497674074</v>
      </c>
      <c r="M7" s="25" t="n">
        <f aca="false">L6*Progress_2L</f>
        <v>6635.6871205777</v>
      </c>
      <c r="N7" s="25" t="n">
        <f aca="false">M6*Progress_2L</f>
        <v>6788.30792435099</v>
      </c>
      <c r="O7" s="25" t="n">
        <f aca="false">N6*Progress_2L</f>
        <v>6944.43900661106</v>
      </c>
      <c r="P7" s="25" t="n">
        <f aca="false">O6*Progress_2L</f>
        <v>7104.16110376311</v>
      </c>
      <c r="Q7" s="25" t="n">
        <f aca="false">P6*Progress_2L</f>
        <v>7267.55680914966</v>
      </c>
      <c r="R7" s="25" t="n">
        <f aca="false">Q6*Progress_2L</f>
        <v>7434.71061576011</v>
      </c>
      <c r="S7" s="25" t="n">
        <f aca="false">R6*Progress_2L</f>
        <v>7605.70895992259</v>
      </c>
      <c r="T7" s="25" t="n">
        <f aca="false">S6*Progress_2L</f>
        <v>7780.64026600081</v>
      </c>
      <c r="U7" s="25" t="n">
        <f aca="false">T6*Progress_2L</f>
        <v>7959.59499211882</v>
      </c>
    </row>
    <row r="8" customFormat="false" ht="15" hidden="false" customHeight="false" outlineLevel="0" collapsed="false">
      <c r="A8" s="5" t="s">
        <v>201</v>
      </c>
      <c r="B8" s="29"/>
      <c r="C8" s="29"/>
      <c r="D8" s="25" t="n">
        <f aca="false">C7*Progress_3L*Later_lines</f>
        <v>3290.67941776</v>
      </c>
      <c r="E8" s="25" t="n">
        <f aca="false">D7*Progress_3L*Later_lines</f>
        <v>3362.82937576</v>
      </c>
      <c r="F8" s="25" t="n">
        <f aca="false">E7*Progress_3L*Later_lines</f>
        <v>3437.06366588</v>
      </c>
      <c r="G8" s="25" t="n">
        <f aca="false">F7*Progress_3L*Later_lines</f>
        <v>3513.38228812</v>
      </c>
      <c r="H8" s="25" t="n">
        <f aca="false">G7*Progress_3L*Later_lines</f>
        <v>3592.10590896</v>
      </c>
      <c r="I8" s="25" t="n">
        <f aca="false">H7*Progress_3L*Later_lines</f>
        <v>3673.2345284</v>
      </c>
      <c r="J8" s="25" t="n">
        <f aca="false">I7*Progress_3L*Later_lines</f>
        <v>3756.6078132</v>
      </c>
      <c r="K8" s="25" t="n">
        <f aca="false">J7*Progress_3L*Later_lines</f>
        <v>3842.54642984</v>
      </c>
      <c r="L8" s="25" t="n">
        <f aca="false">K7*Progress_3L*Later_lines</f>
        <v>3931.21071156</v>
      </c>
      <c r="M8" s="25" t="n">
        <f aca="false">L7*Progress_3L*Later_lines</f>
        <v>4021.62855792588</v>
      </c>
      <c r="N8" s="25" t="n">
        <f aca="false">M7*Progress_3L*Later_lines</f>
        <v>4114.12601475817</v>
      </c>
      <c r="O8" s="25" t="n">
        <f aca="false">N7*Progress_3L*Later_lines</f>
        <v>4208.75091309761</v>
      </c>
      <c r="P8" s="25" t="n">
        <f aca="false">O7*Progress_3L*Later_lines</f>
        <v>4305.55218409886</v>
      </c>
      <c r="Q8" s="25" t="n">
        <f aca="false">P7*Progress_3L*Later_lines</f>
        <v>4404.57988433313</v>
      </c>
      <c r="R8" s="25" t="n">
        <f aca="false">Q7*Progress_3L*Later_lines</f>
        <v>4505.88522167279</v>
      </c>
      <c r="S8" s="25" t="n">
        <f aca="false">R7*Progress_3L*Later_lines</f>
        <v>4609.52058177127</v>
      </c>
      <c r="T8" s="25" t="n">
        <f aca="false">S7*Progress_3L*Later_lines</f>
        <v>4715.539555152</v>
      </c>
      <c r="U8" s="25" t="n">
        <f aca="false">T7*Progress_3L*Later_lines</f>
        <v>4823.9969649205</v>
      </c>
    </row>
    <row r="10" customFormat="false" ht="15" hidden="false" customHeight="false" outlineLevel="0" collapsed="false">
      <c r="A10" s="2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1" min="2" style="0" width="10"/>
  </cols>
  <sheetData>
    <row r="1" customFormat="false" ht="15" hidden="false" customHeight="false" outlineLevel="0" collapsed="false">
      <c r="A1" s="21" t="s">
        <v>203</v>
      </c>
    </row>
    <row r="3" customFormat="false" ht="15" hidden="false" customHeight="false" outlineLevel="0" collapsed="false">
      <c r="A3" s="26"/>
      <c r="B3" s="27" t="s">
        <v>179</v>
      </c>
      <c r="C3" s="27" t="s">
        <v>180</v>
      </c>
      <c r="D3" s="27" t="s">
        <v>181</v>
      </c>
      <c r="E3" s="27" t="s">
        <v>182</v>
      </c>
      <c r="F3" s="27" t="s">
        <v>183</v>
      </c>
      <c r="G3" s="27" t="s">
        <v>184</v>
      </c>
      <c r="H3" s="27" t="s">
        <v>185</v>
      </c>
      <c r="I3" s="27" t="s">
        <v>186</v>
      </c>
      <c r="J3" s="27" t="s">
        <v>187</v>
      </c>
      <c r="K3" s="27" t="s">
        <v>188</v>
      </c>
      <c r="L3" s="27" t="s">
        <v>189</v>
      </c>
      <c r="M3" s="27" t="s">
        <v>190</v>
      </c>
      <c r="N3" s="27" t="s">
        <v>191</v>
      </c>
      <c r="O3" s="27" t="s">
        <v>192</v>
      </c>
      <c r="P3" s="27" t="s">
        <v>193</v>
      </c>
      <c r="Q3" s="27" t="s">
        <v>194</v>
      </c>
      <c r="R3" s="27" t="s">
        <v>195</v>
      </c>
      <c r="S3" s="27" t="s">
        <v>196</v>
      </c>
      <c r="T3" s="27" t="s">
        <v>197</v>
      </c>
      <c r="U3" s="27" t="s">
        <v>198</v>
      </c>
    </row>
    <row r="4" customFormat="false" ht="15" hidden="false" customHeight="false" outlineLevel="0" collapsed="false">
      <c r="A4" s="18" t="s">
        <v>204</v>
      </c>
    </row>
    <row r="5" customFormat="false" ht="15" hidden="false" customHeight="false" outlineLevel="0" collapsed="false">
      <c r="A5" s="2" t="s">
        <v>205</v>
      </c>
      <c r="B5" s="30" t="n">
        <f aca="false">VALUE(B$3)-Launch_3L+1</f>
        <v>-4</v>
      </c>
      <c r="C5" s="30" t="n">
        <f aca="false">VALUE(C$3)-Launch_3L+1</f>
        <v>-3</v>
      </c>
      <c r="D5" s="30" t="n">
        <f aca="false">VALUE(D$3)-Launch_3L+1</f>
        <v>-2</v>
      </c>
      <c r="E5" s="30" t="n">
        <f aca="false">VALUE(E$3)-Launch_3L+1</f>
        <v>-1</v>
      </c>
      <c r="F5" s="30" t="n">
        <f aca="false">VALUE(F$3)-Launch_3L+1</f>
        <v>0</v>
      </c>
      <c r="G5" s="30" t="n">
        <f aca="false">VALUE(G$3)-Launch_3L+1</f>
        <v>1</v>
      </c>
      <c r="H5" s="30" t="n">
        <f aca="false">VALUE(H$3)-Launch_3L+1</f>
        <v>2</v>
      </c>
      <c r="I5" s="30" t="n">
        <f aca="false">VALUE(I$3)-Launch_3L+1</f>
        <v>3</v>
      </c>
      <c r="J5" s="30" t="n">
        <f aca="false">VALUE(J$3)-Launch_3L+1</f>
        <v>4</v>
      </c>
      <c r="K5" s="30" t="n">
        <f aca="false">VALUE(K$3)-Launch_3L+1</f>
        <v>5</v>
      </c>
      <c r="L5" s="30" t="n">
        <f aca="false">VALUE(L$3)-Launch_3L+1</f>
        <v>6</v>
      </c>
      <c r="M5" s="30" t="n">
        <f aca="false">VALUE(M$3)-Launch_3L+1</f>
        <v>7</v>
      </c>
      <c r="N5" s="30" t="n">
        <f aca="false">VALUE(N$3)-Launch_3L+1</f>
        <v>8</v>
      </c>
      <c r="O5" s="30" t="n">
        <f aca="false">VALUE(O$3)-Launch_3L+1</f>
        <v>9</v>
      </c>
      <c r="P5" s="30" t="n">
        <f aca="false">VALUE(P$3)-Launch_3L+1</f>
        <v>10</v>
      </c>
      <c r="Q5" s="30" t="n">
        <f aca="false">VALUE(Q$3)-Launch_3L+1</f>
        <v>11</v>
      </c>
      <c r="R5" s="30" t="n">
        <f aca="false">VALUE(R$3)-Launch_3L+1</f>
        <v>12</v>
      </c>
      <c r="S5" s="30" t="n">
        <f aca="false">VALUE(S$3)-Launch_3L+1</f>
        <v>13</v>
      </c>
      <c r="T5" s="30" t="n">
        <f aca="false">VALUE(T$3)-Launch_3L+1</f>
        <v>14</v>
      </c>
      <c r="U5" s="30" t="n">
        <f aca="false">VALUE(U$3)-Launch_3L+1</f>
        <v>15</v>
      </c>
    </row>
    <row r="6" customFormat="false" ht="15" hidden="false" customHeight="false" outlineLevel="0" collapsed="false">
      <c r="A6" s="2" t="s">
        <v>206</v>
      </c>
      <c r="B6" s="31" t="n">
        <f aca="false">IF(B5&lt;1,0,CHOOSE(MIN(B5,4),Uptake_Y1,Uptake_Y2,Uptake_Y3,Uptake_Y4))</f>
        <v>0</v>
      </c>
      <c r="C6" s="31" t="n">
        <f aca="false">IF(C5&lt;1,0,CHOOSE(MIN(C5,4),Uptake_Y1,Uptake_Y2,Uptake_Y3,Uptake_Y4))</f>
        <v>0</v>
      </c>
      <c r="D6" s="31" t="n">
        <f aca="false">IF(D5&lt;1,0,CHOOSE(MIN(D5,4),Uptake_Y1,Uptake_Y2,Uptake_Y3,Uptake_Y4))</f>
        <v>0</v>
      </c>
      <c r="E6" s="31" t="n">
        <f aca="false">IF(E5&lt;1,0,CHOOSE(MIN(E5,4),Uptake_Y1,Uptake_Y2,Uptake_Y3,Uptake_Y4))</f>
        <v>0</v>
      </c>
      <c r="F6" s="31" t="n">
        <f aca="false">IF(F5&lt;1,0,CHOOSE(MIN(F5,4),Uptake_Y1,Uptake_Y2,Uptake_Y3,Uptake_Y4))</f>
        <v>0</v>
      </c>
      <c r="G6" s="31" t="n">
        <f aca="false">IF(G5&lt;1,0,CHOOSE(MIN(G5,4),Uptake_Y1,Uptake_Y2,Uptake_Y3,Uptake_Y4))</f>
        <v>0.3</v>
      </c>
      <c r="H6" s="31" t="n">
        <f aca="false">IF(H5&lt;1,0,CHOOSE(MIN(H5,4),Uptake_Y1,Uptake_Y2,Uptake_Y3,Uptake_Y4))</f>
        <v>0.9</v>
      </c>
      <c r="I6" s="31" t="n">
        <f aca="false">IF(I5&lt;1,0,CHOOSE(MIN(I5,4),Uptake_Y1,Uptake_Y2,Uptake_Y3,Uptake_Y4))</f>
        <v>1</v>
      </c>
      <c r="J6" s="31" t="n">
        <f aca="false">IF(J5&lt;1,0,CHOOSE(MIN(J5,4),Uptake_Y1,Uptake_Y2,Uptake_Y3,Uptake_Y4))</f>
        <v>1</v>
      </c>
      <c r="K6" s="31" t="n">
        <f aca="false">IF(K5&lt;1,0,CHOOSE(MIN(K5,4),Uptake_Y1,Uptake_Y2,Uptake_Y3,Uptake_Y4))</f>
        <v>1</v>
      </c>
      <c r="L6" s="31" t="n">
        <f aca="false">IF(L5&lt;1,0,CHOOSE(MIN(L5,4),Uptake_Y1,Uptake_Y2,Uptake_Y3,Uptake_Y4))</f>
        <v>1</v>
      </c>
      <c r="M6" s="31" t="n">
        <f aca="false">IF(M5&lt;1,0,CHOOSE(MIN(M5,4),Uptake_Y1,Uptake_Y2,Uptake_Y3,Uptake_Y4))</f>
        <v>1</v>
      </c>
      <c r="N6" s="31" t="n">
        <f aca="false">IF(N5&lt;1,0,CHOOSE(MIN(N5,4),Uptake_Y1,Uptake_Y2,Uptake_Y3,Uptake_Y4))</f>
        <v>1</v>
      </c>
      <c r="O6" s="31" t="n">
        <f aca="false">IF(O5&lt;1,0,CHOOSE(MIN(O5,4),Uptake_Y1,Uptake_Y2,Uptake_Y3,Uptake_Y4))</f>
        <v>1</v>
      </c>
      <c r="P6" s="31" t="n">
        <f aca="false">IF(P5&lt;1,0,CHOOSE(MIN(P5,4),Uptake_Y1,Uptake_Y2,Uptake_Y3,Uptake_Y4))</f>
        <v>1</v>
      </c>
      <c r="Q6" s="31" t="n">
        <f aca="false">IF(Q5&lt;1,0,CHOOSE(MIN(Q5,4),Uptake_Y1,Uptake_Y2,Uptake_Y3,Uptake_Y4))</f>
        <v>1</v>
      </c>
      <c r="R6" s="31" t="n">
        <f aca="false">IF(R5&lt;1,0,CHOOSE(MIN(R5,4),Uptake_Y1,Uptake_Y2,Uptake_Y3,Uptake_Y4))</f>
        <v>1</v>
      </c>
      <c r="S6" s="31" t="n">
        <f aca="false">IF(S5&lt;1,0,CHOOSE(MIN(S5,4),Uptake_Y1,Uptake_Y2,Uptake_Y3,Uptake_Y4))</f>
        <v>1</v>
      </c>
      <c r="T6" s="31" t="n">
        <f aca="false">IF(T5&lt;1,0,CHOOSE(MIN(T5,4),Uptake_Y1,Uptake_Y2,Uptake_Y3,Uptake_Y4))</f>
        <v>1</v>
      </c>
      <c r="U6" s="31" t="n">
        <f aca="false">IF(U5&lt;1,0,CHOOSE(MIN(U5,4),Uptake_Y1,Uptake_Y2,Uptake_Y3,Uptake_Y4))</f>
        <v>1</v>
      </c>
    </row>
    <row r="7" customFormat="false" ht="15" hidden="false" customHeight="false" outlineLevel="0" collapsed="false">
      <c r="A7" s="2" t="s">
        <v>207</v>
      </c>
      <c r="B7" s="31" t="n">
        <f aca="false">IF(B5&lt;1,0,IF(B5=1,Coverage_Y1,Coverage_Y2))</f>
        <v>0</v>
      </c>
      <c r="C7" s="31" t="n">
        <f aca="false">IF(C5&lt;1,0,IF(C5=1,Coverage_Y1,Coverage_Y2))</f>
        <v>0</v>
      </c>
      <c r="D7" s="31" t="n">
        <f aca="false">IF(D5&lt;1,0,IF(D5=1,Coverage_Y1,Coverage_Y2))</f>
        <v>0</v>
      </c>
      <c r="E7" s="31" t="n">
        <f aca="false">IF(E5&lt;1,0,IF(E5=1,Coverage_Y1,Coverage_Y2))</f>
        <v>0</v>
      </c>
      <c r="F7" s="31" t="n">
        <f aca="false">IF(F5&lt;1,0,IF(F5=1,Coverage_Y1,Coverage_Y2))</f>
        <v>0</v>
      </c>
      <c r="G7" s="31" t="n">
        <f aca="false">IF(G5&lt;1,0,IF(G5=1,Coverage_Y1,Coverage_Y2))</f>
        <v>0.7</v>
      </c>
      <c r="H7" s="31" t="n">
        <f aca="false">IF(H5&lt;1,0,IF(H5=1,Coverage_Y1,Coverage_Y2))</f>
        <v>0.95</v>
      </c>
      <c r="I7" s="31" t="n">
        <f aca="false">IF(I5&lt;1,0,IF(I5=1,Coverage_Y1,Coverage_Y2))</f>
        <v>0.95</v>
      </c>
      <c r="J7" s="31" t="n">
        <f aca="false">IF(J5&lt;1,0,IF(J5=1,Coverage_Y1,Coverage_Y2))</f>
        <v>0.95</v>
      </c>
      <c r="K7" s="31" t="n">
        <f aca="false">IF(K5&lt;1,0,IF(K5=1,Coverage_Y1,Coverage_Y2))</f>
        <v>0.95</v>
      </c>
      <c r="L7" s="31" t="n">
        <f aca="false">IF(L5&lt;1,0,IF(L5=1,Coverage_Y1,Coverage_Y2))</f>
        <v>0.95</v>
      </c>
      <c r="M7" s="31" t="n">
        <f aca="false">IF(M5&lt;1,0,IF(M5=1,Coverage_Y1,Coverage_Y2))</f>
        <v>0.95</v>
      </c>
      <c r="N7" s="31" t="n">
        <f aca="false">IF(N5&lt;1,0,IF(N5=1,Coverage_Y1,Coverage_Y2))</f>
        <v>0.95</v>
      </c>
      <c r="O7" s="31" t="n">
        <f aca="false">IF(O5&lt;1,0,IF(O5=1,Coverage_Y1,Coverage_Y2))</f>
        <v>0.95</v>
      </c>
      <c r="P7" s="31" t="n">
        <f aca="false">IF(P5&lt;1,0,IF(P5=1,Coverage_Y1,Coverage_Y2))</f>
        <v>0.95</v>
      </c>
      <c r="Q7" s="31" t="n">
        <f aca="false">IF(Q5&lt;1,0,IF(Q5=1,Coverage_Y1,Coverage_Y2))</f>
        <v>0.95</v>
      </c>
      <c r="R7" s="31" t="n">
        <f aca="false">IF(R5&lt;1,0,IF(R5=1,Coverage_Y1,Coverage_Y2))</f>
        <v>0.95</v>
      </c>
      <c r="S7" s="31" t="n">
        <f aca="false">IF(S5&lt;1,0,IF(S5=1,Coverage_Y1,Coverage_Y2))</f>
        <v>0.95</v>
      </c>
      <c r="T7" s="31" t="n">
        <f aca="false">IF(T5&lt;1,0,IF(T5=1,Coverage_Y1,Coverage_Y2))</f>
        <v>0.95</v>
      </c>
      <c r="U7" s="31" t="n">
        <f aca="false">IF(U5&lt;1,0,IF(U5=1,Coverage_Y1,Coverage_Y2))</f>
        <v>0.95</v>
      </c>
    </row>
    <row r="8" customFormat="false" ht="15" hidden="false" customHeight="false" outlineLevel="0" collapsed="false">
      <c r="A8" s="2" t="s">
        <v>208</v>
      </c>
      <c r="B8" s="31" t="n">
        <f aca="false">IF(VALUE(B$3)&lt;LOE_year,1,IF(VALUE(B$3)=LOE_year,LOE_retention_Y0,LOE_retention_after))</f>
        <v>1</v>
      </c>
      <c r="C8" s="31" t="n">
        <f aca="false">IF(VALUE(C$3)&lt;LOE_year,1,IF(VALUE(C$3)=LOE_year,LOE_retention_Y0,LOE_retention_after))</f>
        <v>1</v>
      </c>
      <c r="D8" s="31" t="n">
        <f aca="false">IF(VALUE(D$3)&lt;LOE_year,1,IF(VALUE(D$3)=LOE_year,LOE_retention_Y0,LOE_retention_after))</f>
        <v>1</v>
      </c>
      <c r="E8" s="31" t="n">
        <f aca="false">IF(VALUE(E$3)&lt;LOE_year,1,IF(VALUE(E$3)=LOE_year,LOE_retention_Y0,LOE_retention_after))</f>
        <v>1</v>
      </c>
      <c r="F8" s="31" t="n">
        <f aca="false">IF(VALUE(F$3)&lt;LOE_year,1,IF(VALUE(F$3)=LOE_year,LOE_retention_Y0,LOE_retention_after))</f>
        <v>1</v>
      </c>
      <c r="G8" s="31" t="n">
        <f aca="false">IF(VALUE(G$3)&lt;LOE_year,1,IF(VALUE(G$3)=LOE_year,LOE_retention_Y0,LOE_retention_after))</f>
        <v>1</v>
      </c>
      <c r="H8" s="31" t="n">
        <f aca="false">IF(VALUE(H$3)&lt;LOE_year,1,IF(VALUE(H$3)=LOE_year,LOE_retention_Y0,LOE_retention_after))</f>
        <v>1</v>
      </c>
      <c r="I8" s="31" t="n">
        <f aca="false">IF(VALUE(I$3)&lt;LOE_year,1,IF(VALUE(I$3)=LOE_year,LOE_retention_Y0,LOE_retention_after))</f>
        <v>1</v>
      </c>
      <c r="J8" s="31" t="n">
        <f aca="false">IF(VALUE(J$3)&lt;LOE_year,1,IF(VALUE(J$3)=LOE_year,LOE_retention_Y0,LOE_retention_after))</f>
        <v>1</v>
      </c>
      <c r="K8" s="31" t="n">
        <f aca="false">IF(VALUE(K$3)&lt;LOE_year,1,IF(VALUE(K$3)=LOE_year,LOE_retention_Y0,LOE_retention_after))</f>
        <v>1</v>
      </c>
      <c r="L8" s="31" t="n">
        <f aca="false">IF(VALUE(L$3)&lt;LOE_year,1,IF(VALUE(L$3)=LOE_year,LOE_retention_Y0,LOE_retention_after))</f>
        <v>1</v>
      </c>
      <c r="M8" s="31" t="n">
        <f aca="false">IF(VALUE(M$3)&lt;LOE_year,1,IF(VALUE(M$3)=LOE_year,LOE_retention_Y0,LOE_retention_after))</f>
        <v>1</v>
      </c>
      <c r="N8" s="31" t="n">
        <f aca="false">IF(VALUE(N$3)&lt;LOE_year,1,IF(VALUE(N$3)=LOE_year,LOE_retention_Y0,LOE_retention_after))</f>
        <v>1</v>
      </c>
      <c r="O8" s="31" t="n">
        <f aca="false">IF(VALUE(O$3)&lt;LOE_year,1,IF(VALUE(O$3)=LOE_year,LOE_retention_Y0,LOE_retention_after))</f>
        <v>1</v>
      </c>
      <c r="P8" s="31" t="n">
        <f aca="false">IF(VALUE(P$3)&lt;LOE_year,1,IF(VALUE(P$3)=LOE_year,LOE_retention_Y0,LOE_retention_after))</f>
        <v>1</v>
      </c>
      <c r="Q8" s="31" t="n">
        <f aca="false">IF(VALUE(Q$3)&lt;LOE_year,1,IF(VALUE(Q$3)=LOE_year,LOE_retention_Y0,LOE_retention_after))</f>
        <v>1</v>
      </c>
      <c r="R8" s="31" t="n">
        <f aca="false">IF(VALUE(R$3)&lt;LOE_year,1,IF(VALUE(R$3)=LOE_year,LOE_retention_Y0,LOE_retention_after))</f>
        <v>1</v>
      </c>
      <c r="S8" s="31" t="n">
        <f aca="false">IF(VALUE(S$3)&lt;LOE_year,1,IF(VALUE(S$3)=LOE_year,LOE_retention_Y0,LOE_retention_after))</f>
        <v>0.75</v>
      </c>
      <c r="T8" s="31" t="n">
        <f aca="false">IF(VALUE(T$3)&lt;LOE_year,1,IF(VALUE(T$3)=LOE_year,LOE_retention_Y0,LOE_retention_after))</f>
        <v>0.4</v>
      </c>
      <c r="U8" s="31" t="n">
        <f aca="false">IF(VALUE(U$3)&lt;LOE_year,1,IF(VALUE(U$3)=LOE_year,LOE_retention_Y0,LOE_retention_after))</f>
        <v>0.4</v>
      </c>
    </row>
    <row r="9" customFormat="false" ht="15" hidden="false" customHeight="false" outlineLevel="0" collapsed="false">
      <c r="A9" s="2" t="s">
        <v>209</v>
      </c>
      <c r="B9" s="31" t="n">
        <f aca="false">Peak_share_3L*B6*B7*B8</f>
        <v>0</v>
      </c>
      <c r="C9" s="31" t="n">
        <f aca="false">Peak_share_3L*C6*C7*C8</f>
        <v>0</v>
      </c>
      <c r="D9" s="31" t="n">
        <f aca="false">Peak_share_3L*D6*D7*D8</f>
        <v>0</v>
      </c>
      <c r="E9" s="31" t="n">
        <f aca="false">Peak_share_3L*E6*E7*E8</f>
        <v>0</v>
      </c>
      <c r="F9" s="31" t="n">
        <f aca="false">Peak_share_3L*F6*F7*F8</f>
        <v>0</v>
      </c>
      <c r="G9" s="31" t="n">
        <f aca="false">Peak_share_3L*G6*G7*G8</f>
        <v>0.0315</v>
      </c>
      <c r="H9" s="31" t="n">
        <f aca="false">Peak_share_3L*H6*H7*H8</f>
        <v>0.12825</v>
      </c>
      <c r="I9" s="31" t="n">
        <f aca="false">Peak_share_3L*I6*I7*I8</f>
        <v>0.1425</v>
      </c>
      <c r="J9" s="31" t="n">
        <f aca="false">Peak_share_3L*J6*J7*J8</f>
        <v>0.1425</v>
      </c>
      <c r="K9" s="31" t="n">
        <f aca="false">Peak_share_3L*K6*K7*K8</f>
        <v>0.1425</v>
      </c>
      <c r="L9" s="31" t="n">
        <f aca="false">Peak_share_3L*L6*L7*L8</f>
        <v>0.1425</v>
      </c>
      <c r="M9" s="31" t="n">
        <f aca="false">Peak_share_3L*M6*M7*M8</f>
        <v>0.1425</v>
      </c>
      <c r="N9" s="31" t="n">
        <f aca="false">Peak_share_3L*N6*N7*N8</f>
        <v>0.1425</v>
      </c>
      <c r="O9" s="31" t="n">
        <f aca="false">Peak_share_3L*O6*O7*O8</f>
        <v>0.1425</v>
      </c>
      <c r="P9" s="31" t="n">
        <f aca="false">Peak_share_3L*P6*P7*P8</f>
        <v>0.1425</v>
      </c>
      <c r="Q9" s="31" t="n">
        <f aca="false">Peak_share_3L*Q6*Q7*Q8</f>
        <v>0.1425</v>
      </c>
      <c r="R9" s="31" t="n">
        <f aca="false">Peak_share_3L*R6*R7*R8</f>
        <v>0.1425</v>
      </c>
      <c r="S9" s="31" t="n">
        <f aca="false">Peak_share_3L*S6*S7*S8</f>
        <v>0.106875</v>
      </c>
      <c r="T9" s="31" t="n">
        <f aca="false">Peak_share_3L*T6*T7*T8</f>
        <v>0.057</v>
      </c>
      <c r="U9" s="31" t="n">
        <f aca="false">Peak_share_3L*U6*U7*U8</f>
        <v>0.057</v>
      </c>
    </row>
    <row r="10" customFormat="false" ht="15" hidden="false" customHeight="false" outlineLevel="0" collapsed="false">
      <c r="A10" s="2" t="s">
        <v>210</v>
      </c>
      <c r="B10" s="32" t="n">
        <f aca="false">IF(ISNUMBER(Funnel!B8),Funnel!B8,0)*B9</f>
        <v>0</v>
      </c>
      <c r="C10" s="32" t="n">
        <f aca="false">IF(ISNUMBER(Funnel!C8),Funnel!C8,0)*C9</f>
        <v>0</v>
      </c>
      <c r="D10" s="32" t="n">
        <f aca="false">IF(ISNUMBER(Funnel!D8),Funnel!D8,0)*D9</f>
        <v>0</v>
      </c>
      <c r="E10" s="32" t="n">
        <f aca="false">IF(ISNUMBER(Funnel!E8),Funnel!E8,0)*E9</f>
        <v>0</v>
      </c>
      <c r="F10" s="32" t="n">
        <f aca="false">IF(ISNUMBER(Funnel!F8),Funnel!F8,0)*F9</f>
        <v>0</v>
      </c>
      <c r="G10" s="32" t="n">
        <f aca="false">IF(ISNUMBER(Funnel!G8),Funnel!G8,0)*G9</f>
        <v>110.67154207578</v>
      </c>
      <c r="H10" s="32" t="n">
        <f aca="false">IF(ISNUMBER(Funnel!H8),Funnel!H8,0)*H9</f>
        <v>460.68758282412</v>
      </c>
      <c r="I10" s="32" t="n">
        <f aca="false">IF(ISNUMBER(Funnel!I8),Funnel!I8,0)*I9</f>
        <v>523.435920297</v>
      </c>
      <c r="J10" s="32" t="n">
        <f aca="false">IF(ISNUMBER(Funnel!J8),Funnel!J8,0)*J9</f>
        <v>535.316613381</v>
      </c>
      <c r="K10" s="32" t="n">
        <f aca="false">IF(ISNUMBER(Funnel!K8),Funnel!K8,0)*K9</f>
        <v>547.5628662522</v>
      </c>
      <c r="L10" s="32" t="n">
        <f aca="false">IF(ISNUMBER(Funnel!L8),Funnel!L8,0)*L9</f>
        <v>560.1975263973</v>
      </c>
      <c r="M10" s="32" t="n">
        <f aca="false">IF(ISNUMBER(Funnel!M8),Funnel!M8,0)*M9</f>
        <v>573.082069504438</v>
      </c>
      <c r="N10" s="32" t="n">
        <f aca="false">IF(ISNUMBER(Funnel!N8),Funnel!N8,0)*N9</f>
        <v>586.26295710304</v>
      </c>
      <c r="O10" s="32" t="n">
        <f aca="false">IF(ISNUMBER(Funnel!O8),Funnel!O8,0)*O9</f>
        <v>599.74700511641</v>
      </c>
      <c r="P10" s="32" t="n">
        <f aca="false">IF(ISNUMBER(Funnel!P8),Funnel!P8,0)*P9</f>
        <v>613.541186234087</v>
      </c>
      <c r="Q10" s="32" t="n">
        <f aca="false">IF(ISNUMBER(Funnel!Q8),Funnel!Q8,0)*Q9</f>
        <v>627.652633517471</v>
      </c>
      <c r="R10" s="32" t="n">
        <f aca="false">IF(ISNUMBER(Funnel!R8),Funnel!R8,0)*R9</f>
        <v>642.088644088373</v>
      </c>
      <c r="S10" s="32" t="n">
        <f aca="false">IF(ISNUMBER(Funnel!S8),Funnel!S8,0)*S9</f>
        <v>492.642512176804</v>
      </c>
      <c r="T10" s="32" t="n">
        <f aca="false">IF(ISNUMBER(Funnel!T8),Funnel!T8,0)*T9</f>
        <v>268.785754643664</v>
      </c>
      <c r="U10" s="32" t="n">
        <f aca="false">IF(ISNUMBER(Funnel!U8),Funnel!U8,0)*U9</f>
        <v>274.967827000468</v>
      </c>
    </row>
    <row r="11" customFormat="false" ht="15" hidden="false" customHeight="false" outlineLevel="0" collapsed="false">
      <c r="A11" s="18" t="s">
        <v>211</v>
      </c>
    </row>
    <row r="12" customFormat="false" ht="15" hidden="false" customHeight="false" outlineLevel="0" collapsed="false">
      <c r="A12" s="2" t="s">
        <v>212</v>
      </c>
      <c r="B12" s="30" t="n">
        <f aca="false">VALUE(B$3)-Launch_2L+1</f>
        <v>-6</v>
      </c>
      <c r="C12" s="30" t="n">
        <f aca="false">VALUE(C$3)-Launch_2L+1</f>
        <v>-5</v>
      </c>
      <c r="D12" s="30" t="n">
        <f aca="false">VALUE(D$3)-Launch_2L+1</f>
        <v>-4</v>
      </c>
      <c r="E12" s="30" t="n">
        <f aca="false">VALUE(E$3)-Launch_2L+1</f>
        <v>-3</v>
      </c>
      <c r="F12" s="30" t="n">
        <f aca="false">VALUE(F$3)-Launch_2L+1</f>
        <v>-2</v>
      </c>
      <c r="G12" s="30" t="n">
        <f aca="false">VALUE(G$3)-Launch_2L+1</f>
        <v>-1</v>
      </c>
      <c r="H12" s="30" t="n">
        <f aca="false">VALUE(H$3)-Launch_2L+1</f>
        <v>0</v>
      </c>
      <c r="I12" s="30" t="n">
        <f aca="false">VALUE(I$3)-Launch_2L+1</f>
        <v>1</v>
      </c>
      <c r="J12" s="30" t="n">
        <f aca="false">VALUE(J$3)-Launch_2L+1</f>
        <v>2</v>
      </c>
      <c r="K12" s="30" t="n">
        <f aca="false">VALUE(K$3)-Launch_2L+1</f>
        <v>3</v>
      </c>
      <c r="L12" s="30" t="n">
        <f aca="false">VALUE(L$3)-Launch_2L+1</f>
        <v>4</v>
      </c>
      <c r="M12" s="30" t="n">
        <f aca="false">VALUE(M$3)-Launch_2L+1</f>
        <v>5</v>
      </c>
      <c r="N12" s="30" t="n">
        <f aca="false">VALUE(N$3)-Launch_2L+1</f>
        <v>6</v>
      </c>
      <c r="O12" s="30" t="n">
        <f aca="false">VALUE(O$3)-Launch_2L+1</f>
        <v>7</v>
      </c>
      <c r="P12" s="30" t="n">
        <f aca="false">VALUE(P$3)-Launch_2L+1</f>
        <v>8</v>
      </c>
      <c r="Q12" s="30" t="n">
        <f aca="false">VALUE(Q$3)-Launch_2L+1</f>
        <v>9</v>
      </c>
      <c r="R12" s="30" t="n">
        <f aca="false">VALUE(R$3)-Launch_2L+1</f>
        <v>10</v>
      </c>
      <c r="S12" s="30" t="n">
        <f aca="false">VALUE(S$3)-Launch_2L+1</f>
        <v>11</v>
      </c>
      <c r="T12" s="30" t="n">
        <f aca="false">VALUE(T$3)-Launch_2L+1</f>
        <v>12</v>
      </c>
      <c r="U12" s="30" t="n">
        <f aca="false">VALUE(U$3)-Launch_2L+1</f>
        <v>13</v>
      </c>
    </row>
    <row r="13" customFormat="false" ht="15" hidden="false" customHeight="false" outlineLevel="0" collapsed="false">
      <c r="A13" s="2" t="s">
        <v>206</v>
      </c>
      <c r="B13" s="31" t="n">
        <f aca="false">IF(B12&lt;1,0,CHOOSE(MIN(B12,4),Uptake_Y1,Uptake_Y2,Uptake_Y3,Uptake_Y4))</f>
        <v>0</v>
      </c>
      <c r="C13" s="31" t="n">
        <f aca="false">IF(C12&lt;1,0,CHOOSE(MIN(C12,4),Uptake_Y1,Uptake_Y2,Uptake_Y3,Uptake_Y4))</f>
        <v>0</v>
      </c>
      <c r="D13" s="31" t="n">
        <f aca="false">IF(D12&lt;1,0,CHOOSE(MIN(D12,4),Uptake_Y1,Uptake_Y2,Uptake_Y3,Uptake_Y4))</f>
        <v>0</v>
      </c>
      <c r="E13" s="31" t="n">
        <f aca="false">IF(E12&lt;1,0,CHOOSE(MIN(E12,4),Uptake_Y1,Uptake_Y2,Uptake_Y3,Uptake_Y4))</f>
        <v>0</v>
      </c>
      <c r="F13" s="31" t="n">
        <f aca="false">IF(F12&lt;1,0,CHOOSE(MIN(F12,4),Uptake_Y1,Uptake_Y2,Uptake_Y3,Uptake_Y4))</f>
        <v>0</v>
      </c>
      <c r="G13" s="31" t="n">
        <f aca="false">IF(G12&lt;1,0,CHOOSE(MIN(G12,4),Uptake_Y1,Uptake_Y2,Uptake_Y3,Uptake_Y4))</f>
        <v>0</v>
      </c>
      <c r="H13" s="31" t="n">
        <f aca="false">IF(H12&lt;1,0,CHOOSE(MIN(H12,4),Uptake_Y1,Uptake_Y2,Uptake_Y3,Uptake_Y4))</f>
        <v>0</v>
      </c>
      <c r="I13" s="31" t="n">
        <f aca="false">IF(I12&lt;1,0,CHOOSE(MIN(I12,4),Uptake_Y1,Uptake_Y2,Uptake_Y3,Uptake_Y4))</f>
        <v>0.3</v>
      </c>
      <c r="J13" s="31" t="n">
        <f aca="false">IF(J12&lt;1,0,CHOOSE(MIN(J12,4),Uptake_Y1,Uptake_Y2,Uptake_Y3,Uptake_Y4))</f>
        <v>0.9</v>
      </c>
      <c r="K13" s="31" t="n">
        <f aca="false">IF(K12&lt;1,0,CHOOSE(MIN(K12,4),Uptake_Y1,Uptake_Y2,Uptake_Y3,Uptake_Y4))</f>
        <v>1</v>
      </c>
      <c r="L13" s="31" t="n">
        <f aca="false">IF(L12&lt;1,0,CHOOSE(MIN(L12,4),Uptake_Y1,Uptake_Y2,Uptake_Y3,Uptake_Y4))</f>
        <v>1</v>
      </c>
      <c r="M13" s="31" t="n">
        <f aca="false">IF(M12&lt;1,0,CHOOSE(MIN(M12,4),Uptake_Y1,Uptake_Y2,Uptake_Y3,Uptake_Y4))</f>
        <v>1</v>
      </c>
      <c r="N13" s="31" t="n">
        <f aca="false">IF(N12&lt;1,0,CHOOSE(MIN(N12,4),Uptake_Y1,Uptake_Y2,Uptake_Y3,Uptake_Y4))</f>
        <v>1</v>
      </c>
      <c r="O13" s="31" t="n">
        <f aca="false">IF(O12&lt;1,0,CHOOSE(MIN(O12,4),Uptake_Y1,Uptake_Y2,Uptake_Y3,Uptake_Y4))</f>
        <v>1</v>
      </c>
      <c r="P13" s="31" t="n">
        <f aca="false">IF(P12&lt;1,0,CHOOSE(MIN(P12,4),Uptake_Y1,Uptake_Y2,Uptake_Y3,Uptake_Y4))</f>
        <v>1</v>
      </c>
      <c r="Q13" s="31" t="n">
        <f aca="false">IF(Q12&lt;1,0,CHOOSE(MIN(Q12,4),Uptake_Y1,Uptake_Y2,Uptake_Y3,Uptake_Y4))</f>
        <v>1</v>
      </c>
      <c r="R13" s="31" t="n">
        <f aca="false">IF(R12&lt;1,0,CHOOSE(MIN(R12,4),Uptake_Y1,Uptake_Y2,Uptake_Y3,Uptake_Y4))</f>
        <v>1</v>
      </c>
      <c r="S13" s="31" t="n">
        <f aca="false">IF(S12&lt;1,0,CHOOSE(MIN(S12,4),Uptake_Y1,Uptake_Y2,Uptake_Y3,Uptake_Y4))</f>
        <v>1</v>
      </c>
      <c r="T13" s="31" t="n">
        <f aca="false">IF(T12&lt;1,0,CHOOSE(MIN(T12,4),Uptake_Y1,Uptake_Y2,Uptake_Y3,Uptake_Y4))</f>
        <v>1</v>
      </c>
      <c r="U13" s="31" t="n">
        <f aca="false">IF(U12&lt;1,0,CHOOSE(MIN(U12,4),Uptake_Y1,Uptake_Y2,Uptake_Y3,Uptake_Y4))</f>
        <v>1</v>
      </c>
    </row>
    <row r="14" customFormat="false" ht="15" hidden="false" customHeight="false" outlineLevel="0" collapsed="false">
      <c r="A14" s="2" t="s">
        <v>207</v>
      </c>
      <c r="B14" s="31" t="n">
        <f aca="false">IF(B12&lt;1,0,IF(B12=1,Coverage_Y1,Coverage_Y2))</f>
        <v>0</v>
      </c>
      <c r="C14" s="31" t="n">
        <f aca="false">IF(C12&lt;1,0,IF(C12=1,Coverage_Y1,Coverage_Y2))</f>
        <v>0</v>
      </c>
      <c r="D14" s="31" t="n">
        <f aca="false">IF(D12&lt;1,0,IF(D12=1,Coverage_Y1,Coverage_Y2))</f>
        <v>0</v>
      </c>
      <c r="E14" s="31" t="n">
        <f aca="false">IF(E12&lt;1,0,IF(E12=1,Coverage_Y1,Coverage_Y2))</f>
        <v>0</v>
      </c>
      <c r="F14" s="31" t="n">
        <f aca="false">IF(F12&lt;1,0,IF(F12=1,Coverage_Y1,Coverage_Y2))</f>
        <v>0</v>
      </c>
      <c r="G14" s="31" t="n">
        <f aca="false">IF(G12&lt;1,0,IF(G12=1,Coverage_Y1,Coverage_Y2))</f>
        <v>0</v>
      </c>
      <c r="H14" s="31" t="n">
        <f aca="false">IF(H12&lt;1,0,IF(H12=1,Coverage_Y1,Coverage_Y2))</f>
        <v>0</v>
      </c>
      <c r="I14" s="31" t="n">
        <f aca="false">IF(I12&lt;1,0,IF(I12=1,Coverage_Y1,Coverage_Y2))</f>
        <v>0.7</v>
      </c>
      <c r="J14" s="31" t="n">
        <f aca="false">IF(J12&lt;1,0,IF(J12=1,Coverage_Y1,Coverage_Y2))</f>
        <v>0.95</v>
      </c>
      <c r="K14" s="31" t="n">
        <f aca="false">IF(K12&lt;1,0,IF(K12=1,Coverage_Y1,Coverage_Y2))</f>
        <v>0.95</v>
      </c>
      <c r="L14" s="31" t="n">
        <f aca="false">IF(L12&lt;1,0,IF(L12=1,Coverage_Y1,Coverage_Y2))</f>
        <v>0.95</v>
      </c>
      <c r="M14" s="31" t="n">
        <f aca="false">IF(M12&lt;1,0,IF(M12=1,Coverage_Y1,Coverage_Y2))</f>
        <v>0.95</v>
      </c>
      <c r="N14" s="31" t="n">
        <f aca="false">IF(N12&lt;1,0,IF(N12=1,Coverage_Y1,Coverage_Y2))</f>
        <v>0.95</v>
      </c>
      <c r="O14" s="31" t="n">
        <f aca="false">IF(O12&lt;1,0,IF(O12=1,Coverage_Y1,Coverage_Y2))</f>
        <v>0.95</v>
      </c>
      <c r="P14" s="31" t="n">
        <f aca="false">IF(P12&lt;1,0,IF(P12=1,Coverage_Y1,Coverage_Y2))</f>
        <v>0.95</v>
      </c>
      <c r="Q14" s="31" t="n">
        <f aca="false">IF(Q12&lt;1,0,IF(Q12=1,Coverage_Y1,Coverage_Y2))</f>
        <v>0.95</v>
      </c>
      <c r="R14" s="31" t="n">
        <f aca="false">IF(R12&lt;1,0,IF(R12=1,Coverage_Y1,Coverage_Y2))</f>
        <v>0.95</v>
      </c>
      <c r="S14" s="31" t="n">
        <f aca="false">IF(S12&lt;1,0,IF(S12=1,Coverage_Y1,Coverage_Y2))</f>
        <v>0.95</v>
      </c>
      <c r="T14" s="31" t="n">
        <f aca="false">IF(T12&lt;1,0,IF(T12=1,Coverage_Y1,Coverage_Y2))</f>
        <v>0.95</v>
      </c>
      <c r="U14" s="31" t="n">
        <f aca="false">IF(U12&lt;1,0,IF(U12=1,Coverage_Y1,Coverage_Y2))</f>
        <v>0.95</v>
      </c>
    </row>
    <row r="15" customFormat="false" ht="15" hidden="false" customHeight="false" outlineLevel="0" collapsed="false">
      <c r="A15" s="2" t="s">
        <v>213</v>
      </c>
      <c r="B15" s="31" t="n">
        <f aca="false">Peak_share_2L*B13*B14*B8</f>
        <v>0</v>
      </c>
      <c r="C15" s="31" t="n">
        <f aca="false">Peak_share_2L*C13*C14*C8</f>
        <v>0</v>
      </c>
      <c r="D15" s="31" t="n">
        <f aca="false">Peak_share_2L*D13*D14*D8</f>
        <v>0</v>
      </c>
      <c r="E15" s="31" t="n">
        <f aca="false">Peak_share_2L*E13*E14*E8</f>
        <v>0</v>
      </c>
      <c r="F15" s="31" t="n">
        <f aca="false">Peak_share_2L*F13*F14*F8</f>
        <v>0</v>
      </c>
      <c r="G15" s="31" t="n">
        <f aca="false">Peak_share_2L*G13*G14*G8</f>
        <v>0</v>
      </c>
      <c r="H15" s="31" t="n">
        <f aca="false">Peak_share_2L*H13*H14*H8</f>
        <v>0</v>
      </c>
      <c r="I15" s="31" t="n">
        <f aca="false">Peak_share_2L*I13*I14*I8</f>
        <v>0.021</v>
      </c>
      <c r="J15" s="31" t="n">
        <f aca="false">Peak_share_2L*J13*J14*J8</f>
        <v>0.0855</v>
      </c>
      <c r="K15" s="31" t="n">
        <f aca="false">Peak_share_2L*K13*K14*K8</f>
        <v>0.095</v>
      </c>
      <c r="L15" s="31" t="n">
        <f aca="false">Peak_share_2L*L13*L14*L8</f>
        <v>0.095</v>
      </c>
      <c r="M15" s="31" t="n">
        <f aca="false">Peak_share_2L*M13*M14*M8</f>
        <v>0.095</v>
      </c>
      <c r="N15" s="31" t="n">
        <f aca="false">Peak_share_2L*N13*N14*N8</f>
        <v>0.095</v>
      </c>
      <c r="O15" s="31" t="n">
        <f aca="false">Peak_share_2L*O13*O14*O8</f>
        <v>0.095</v>
      </c>
      <c r="P15" s="31" t="n">
        <f aca="false">Peak_share_2L*P13*P14*P8</f>
        <v>0.095</v>
      </c>
      <c r="Q15" s="31" t="n">
        <f aca="false">Peak_share_2L*Q13*Q14*Q8</f>
        <v>0.095</v>
      </c>
      <c r="R15" s="31" t="n">
        <f aca="false">Peak_share_2L*R13*R14*R8</f>
        <v>0.095</v>
      </c>
      <c r="S15" s="31" t="n">
        <f aca="false">Peak_share_2L*S13*S14*S8</f>
        <v>0.07125</v>
      </c>
      <c r="T15" s="31" t="n">
        <f aca="false">Peak_share_2L*T13*T14*T8</f>
        <v>0.038</v>
      </c>
      <c r="U15" s="31" t="n">
        <f aca="false">Peak_share_2L*U13*U14*U8</f>
        <v>0.038</v>
      </c>
    </row>
    <row r="16" customFormat="false" ht="15" hidden="false" customHeight="false" outlineLevel="0" collapsed="false">
      <c r="A16" s="2" t="s">
        <v>214</v>
      </c>
      <c r="B16" s="32" t="n">
        <f aca="false">IF(ISNUMBER(Funnel!B7),Funnel!B7,0)*B15</f>
        <v>0</v>
      </c>
      <c r="C16" s="32" t="n">
        <f aca="false">IF(ISNUMBER(Funnel!C7),Funnel!C7,0)*C15</f>
        <v>0</v>
      </c>
      <c r="D16" s="32" t="n">
        <f aca="false">IF(ISNUMBER(Funnel!D7),Funnel!D7,0)*D15</f>
        <v>0</v>
      </c>
      <c r="E16" s="32" t="n">
        <f aca="false">IF(ISNUMBER(Funnel!E7),Funnel!E7,0)*E15</f>
        <v>0</v>
      </c>
      <c r="F16" s="32" t="n">
        <f aca="false">IF(ISNUMBER(Funnel!F7),Funnel!F7,0)*F15</f>
        <v>0</v>
      </c>
      <c r="G16" s="32" t="n">
        <f aca="false">IF(ISNUMBER(Funnel!G7),Funnel!G7,0)*G15</f>
        <v>0</v>
      </c>
      <c r="H16" s="32" t="n">
        <f aca="false">IF(ISNUMBER(Funnel!H7),Funnel!H7,0)*H15</f>
        <v>0</v>
      </c>
      <c r="I16" s="32" t="n">
        <f aca="false">IF(ISNUMBER(Funnel!I7),Funnel!I7,0)*I15</f>
        <v>127.23994206</v>
      </c>
      <c r="J16" s="32" t="n">
        <f aca="false">IF(ISNUMBER(Funnel!J7),Funnel!J7,0)*J15</f>
        <v>529.899547986</v>
      </c>
      <c r="K16" s="32" t="n">
        <f aca="false">IF(ISNUMBER(Funnel!K7),Funnel!K7,0)*K15</f>
        <v>602.36293161</v>
      </c>
      <c r="L16" s="32" t="n">
        <f aca="false">IF(ISNUMBER(Funnel!L7),Funnel!L7,0)*L15</f>
        <v>616.21727903703</v>
      </c>
      <c r="M16" s="32" t="n">
        <f aca="false">IF(ISNUMBER(Funnel!M7),Funnel!M7,0)*M15</f>
        <v>630.390276454882</v>
      </c>
      <c r="N16" s="32" t="n">
        <f aca="false">IF(ISNUMBER(Funnel!N7),Funnel!N7,0)*N15</f>
        <v>644.889252813344</v>
      </c>
      <c r="O16" s="32" t="n">
        <f aca="false">IF(ISNUMBER(Funnel!O7),Funnel!O7,0)*O15</f>
        <v>659.721705628051</v>
      </c>
      <c r="P16" s="32" t="n">
        <f aca="false">IF(ISNUMBER(Funnel!P7),Funnel!P7,0)*P15</f>
        <v>674.895304857496</v>
      </c>
      <c r="Q16" s="32" t="n">
        <f aca="false">IF(ISNUMBER(Funnel!Q7),Funnel!Q7,0)*Q15</f>
        <v>690.417896869218</v>
      </c>
      <c r="R16" s="32" t="n">
        <f aca="false">IF(ISNUMBER(Funnel!R7),Funnel!R7,0)*R15</f>
        <v>706.29750849721</v>
      </c>
      <c r="S16" s="32" t="n">
        <f aca="false">IF(ISNUMBER(Funnel!S7),Funnel!S7,0)*S15</f>
        <v>541.906763394484</v>
      </c>
      <c r="T16" s="32" t="n">
        <f aca="false">IF(ISNUMBER(Funnel!T7),Funnel!T7,0)*T15</f>
        <v>295.664330108031</v>
      </c>
      <c r="U16" s="32" t="n">
        <f aca="false">IF(ISNUMBER(Funnel!U7),Funnel!U7,0)*U15</f>
        <v>302.464609700515</v>
      </c>
    </row>
    <row r="17" customFormat="false" ht="15" hidden="false" customHeight="false" outlineLevel="0" collapsed="false">
      <c r="A17" s="18" t="s">
        <v>215</v>
      </c>
    </row>
    <row r="18" customFormat="false" ht="15" hidden="false" customHeight="false" outlineLevel="0" collapsed="false">
      <c r="A18" s="5" t="s">
        <v>216</v>
      </c>
      <c r="B18" s="33" t="n">
        <f aca="false">B10+B16</f>
        <v>0</v>
      </c>
      <c r="C18" s="33" t="n">
        <f aca="false">C10+C16</f>
        <v>0</v>
      </c>
      <c r="D18" s="33" t="n">
        <f aca="false">D10+D16</f>
        <v>0</v>
      </c>
      <c r="E18" s="33" t="n">
        <f aca="false">E10+E16</f>
        <v>0</v>
      </c>
      <c r="F18" s="33" t="n">
        <f aca="false">F10+F16</f>
        <v>0</v>
      </c>
      <c r="G18" s="33" t="n">
        <f aca="false">G10+G16</f>
        <v>110.67154207578</v>
      </c>
      <c r="H18" s="33" t="n">
        <f aca="false">H10+H16</f>
        <v>460.68758282412</v>
      </c>
      <c r="I18" s="33" t="n">
        <f aca="false">I10+I16</f>
        <v>650.675862357</v>
      </c>
      <c r="J18" s="33" t="n">
        <f aca="false">J10+J16</f>
        <v>1065.216161367</v>
      </c>
      <c r="K18" s="33" t="n">
        <f aca="false">K10+K16</f>
        <v>1149.9257978622</v>
      </c>
      <c r="L18" s="33" t="n">
        <f aca="false">L10+L16</f>
        <v>1176.41480543433</v>
      </c>
      <c r="M18" s="33" t="n">
        <f aca="false">M10+M16</f>
        <v>1203.47234595932</v>
      </c>
      <c r="N18" s="33" t="n">
        <f aca="false">N10+N16</f>
        <v>1231.15220991638</v>
      </c>
      <c r="O18" s="33" t="n">
        <f aca="false">O10+O16</f>
        <v>1259.46871074446</v>
      </c>
      <c r="P18" s="33" t="n">
        <f aca="false">P10+P16</f>
        <v>1288.43649109158</v>
      </c>
      <c r="Q18" s="33" t="n">
        <f aca="false">Q10+Q16</f>
        <v>1318.07053038669</v>
      </c>
      <c r="R18" s="33" t="n">
        <f aca="false">R10+R16</f>
        <v>1348.38615258558</v>
      </c>
      <c r="S18" s="33" t="n">
        <f aca="false">S10+S16</f>
        <v>1034.54927557129</v>
      </c>
      <c r="T18" s="33" t="n">
        <f aca="false">T10+T16</f>
        <v>564.450084751695</v>
      </c>
      <c r="U18" s="33" t="n">
        <f aca="false">U10+U16</f>
        <v>577.432436700984</v>
      </c>
    </row>
    <row r="19" customFormat="false" ht="15" hidden="false" customHeight="false" outlineLevel="0" collapsed="false">
      <c r="A19" s="2" t="s">
        <v>217</v>
      </c>
      <c r="B19" s="34" t="n">
        <f aca="false">B18*Months_on_therapy/12</f>
        <v>0</v>
      </c>
      <c r="C19" s="34" t="n">
        <f aca="false">C18*Months_on_therapy/12</f>
        <v>0</v>
      </c>
      <c r="D19" s="34" t="n">
        <f aca="false">D18*Months_on_therapy/12</f>
        <v>0</v>
      </c>
      <c r="E19" s="34" t="n">
        <f aca="false">E18*Months_on_therapy/12</f>
        <v>0</v>
      </c>
      <c r="F19" s="34" t="n">
        <f aca="false">F18*Months_on_therapy/12</f>
        <v>0</v>
      </c>
      <c r="G19" s="34" t="n">
        <f aca="false">G18*Months_on_therapy/12</f>
        <v>55.33577103789</v>
      </c>
      <c r="H19" s="34" t="n">
        <f aca="false">H18*Months_on_therapy/12</f>
        <v>230.34379141206</v>
      </c>
      <c r="I19" s="34" t="n">
        <f aca="false">I18*Months_on_therapy/12</f>
        <v>325.3379311785</v>
      </c>
      <c r="J19" s="34" t="n">
        <f aca="false">J18*Months_on_therapy/12</f>
        <v>532.6080806835</v>
      </c>
      <c r="K19" s="34" t="n">
        <f aca="false">K18*Months_on_therapy/12</f>
        <v>574.9628989311</v>
      </c>
      <c r="L19" s="34" t="n">
        <f aca="false">L18*Months_on_therapy/12</f>
        <v>588.207402717165</v>
      </c>
      <c r="M19" s="34" t="n">
        <f aca="false">M18*Months_on_therapy/12</f>
        <v>601.73617297966</v>
      </c>
      <c r="N19" s="34" t="n">
        <f aca="false">N18*Months_on_therapy/12</f>
        <v>615.576104958192</v>
      </c>
      <c r="O19" s="34" t="n">
        <f aca="false">O18*Months_on_therapy/12</f>
        <v>629.73435537223</v>
      </c>
      <c r="P19" s="34" t="n">
        <f aca="false">P18*Months_on_therapy/12</f>
        <v>644.218245545791</v>
      </c>
      <c r="Q19" s="34" t="n">
        <f aca="false">Q18*Months_on_therapy/12</f>
        <v>659.035265193345</v>
      </c>
      <c r="R19" s="34" t="n">
        <f aca="false">R18*Months_on_therapy/12</f>
        <v>674.193076292791</v>
      </c>
      <c r="S19" s="34" t="n">
        <f aca="false">S18*Months_on_therapy/12</f>
        <v>517.274637785644</v>
      </c>
      <c r="T19" s="34" t="n">
        <f aca="false">T18*Months_on_therapy/12</f>
        <v>282.225042375847</v>
      </c>
      <c r="U19" s="34" t="n">
        <f aca="false">U18*Months_on_therapy/12</f>
        <v>288.716218350492</v>
      </c>
    </row>
    <row r="20" customFormat="false" ht="15" hidden="false" customHeight="false" outlineLevel="0" collapsed="false">
      <c r="A20" s="2" t="s">
        <v>218</v>
      </c>
      <c r="B20" s="25" t="n">
        <f aca="false">B18*Months_on_therapy</f>
        <v>0</v>
      </c>
      <c r="C20" s="25" t="n">
        <f aca="false">C18*Months_on_therapy</f>
        <v>0</v>
      </c>
      <c r="D20" s="25" t="n">
        <f aca="false">D18*Months_on_therapy</f>
        <v>0</v>
      </c>
      <c r="E20" s="25" t="n">
        <f aca="false">E18*Months_on_therapy</f>
        <v>0</v>
      </c>
      <c r="F20" s="25" t="n">
        <f aca="false">F18*Months_on_therapy</f>
        <v>0</v>
      </c>
      <c r="G20" s="25" t="n">
        <f aca="false">G18*Months_on_therapy</f>
        <v>664.02925245468</v>
      </c>
      <c r="H20" s="25" t="n">
        <f aca="false">H18*Months_on_therapy</f>
        <v>2764.12549694472</v>
      </c>
      <c r="I20" s="25" t="n">
        <f aca="false">I18*Months_on_therapy</f>
        <v>3904.055174142</v>
      </c>
      <c r="J20" s="25" t="n">
        <f aca="false">J18*Months_on_therapy</f>
        <v>6391.296968202</v>
      </c>
      <c r="K20" s="25" t="n">
        <f aca="false">K18*Months_on_therapy</f>
        <v>6899.5547871732</v>
      </c>
      <c r="L20" s="25" t="n">
        <f aca="false">L18*Months_on_therapy</f>
        <v>7058.48883260598</v>
      </c>
      <c r="M20" s="25" t="n">
        <f aca="false">M18*Months_on_therapy</f>
        <v>7220.83407575592</v>
      </c>
      <c r="N20" s="25" t="n">
        <f aca="false">N18*Months_on_therapy</f>
        <v>7386.9132594983</v>
      </c>
      <c r="O20" s="25" t="n">
        <f aca="false">O18*Months_on_therapy</f>
        <v>7556.81226446676</v>
      </c>
      <c r="P20" s="25" t="n">
        <f aca="false">P18*Months_on_therapy</f>
        <v>7730.6189465495</v>
      </c>
      <c r="Q20" s="25" t="n">
        <f aca="false">Q18*Months_on_therapy</f>
        <v>7908.42318232014</v>
      </c>
      <c r="R20" s="25" t="n">
        <f aca="false">R18*Months_on_therapy</f>
        <v>8090.3169155135</v>
      </c>
      <c r="S20" s="25" t="n">
        <f aca="false">S18*Months_on_therapy</f>
        <v>6207.29565342773</v>
      </c>
      <c r="T20" s="25" t="n">
        <f aca="false">T18*Months_on_therapy</f>
        <v>3386.70050851017</v>
      </c>
      <c r="U20" s="25" t="n">
        <f aca="false">U18*Months_on_therapy</f>
        <v>3464.5946202059</v>
      </c>
    </row>
    <row r="21" customFormat="false" ht="15" hidden="false" customHeight="false" outlineLevel="0" collapsed="false">
      <c r="A21" s="5" t="s">
        <v>219</v>
      </c>
      <c r="B21" s="35" t="n">
        <f aca="false">B20*Compliance*WAC_month*Gross_to_net/1000000</f>
        <v>0</v>
      </c>
      <c r="C21" s="35" t="n">
        <f aca="false">C20*Compliance*WAC_month*Gross_to_net/1000000</f>
        <v>0</v>
      </c>
      <c r="D21" s="35" t="n">
        <f aca="false">D20*Compliance*WAC_month*Gross_to_net/1000000</f>
        <v>0</v>
      </c>
      <c r="E21" s="35" t="n">
        <f aca="false">E20*Compliance*WAC_month*Gross_to_net/1000000</f>
        <v>0</v>
      </c>
      <c r="F21" s="35" t="n">
        <f aca="false">F20*Compliance*WAC_month*Gross_to_net/1000000</f>
        <v>0</v>
      </c>
      <c r="G21" s="35" t="n">
        <f aca="false">G20*Compliance*WAC_month*Gross_to_net/1000000</f>
        <v>8.86943872503716</v>
      </c>
      <c r="H21" s="35" t="n">
        <f aca="false">H20*Compliance*WAC_month*Gross_to_net/1000000</f>
        <v>36.9204242626906</v>
      </c>
      <c r="I21" s="35" t="n">
        <f aca="false">I20*Compliance*WAC_month*Gross_to_net/1000000</f>
        <v>52.1464649610147</v>
      </c>
      <c r="J21" s="35" t="n">
        <f aca="false">J20*Compliance*WAC_month*Gross_to_net/1000000</f>
        <v>85.3685536042741</v>
      </c>
      <c r="K21" s="35" t="n">
        <f aca="false">K20*Compliance*WAC_month*Gross_to_net/1000000</f>
        <v>92.1573532922724</v>
      </c>
      <c r="L21" s="35" t="n">
        <f aca="false">L20*Compliance*WAC_month*Gross_to_net/1000000</f>
        <v>94.2802353371181</v>
      </c>
      <c r="M21" s="35" t="n">
        <f aca="false">M20*Compliance*WAC_month*Gross_to_net/1000000</f>
        <v>96.4486807498718</v>
      </c>
      <c r="N21" s="35" t="n">
        <f aca="false">N20*Compliance*WAC_month*Gross_to_net/1000000</f>
        <v>98.6670004071188</v>
      </c>
      <c r="O21" s="35" t="n">
        <f aca="false">O20*Compliance*WAC_month*Gross_to_net/1000000</f>
        <v>100.936341416483</v>
      </c>
      <c r="P21" s="35" t="n">
        <f aca="false">P20*Compliance*WAC_month*Gross_to_net/1000000</f>
        <v>103.257877269062</v>
      </c>
      <c r="Q21" s="35" t="n">
        <f aca="false">Q20*Compliance*WAC_month*Gross_to_net/1000000</f>
        <v>105.63280844625</v>
      </c>
      <c r="R21" s="35" t="n">
        <f aca="false">R20*Compliance*WAC_month*Gross_to_net/1000000</f>
        <v>108.062363040514</v>
      </c>
      <c r="S21" s="35" t="n">
        <f aca="false">S20*Compliance*WAC_month*Gross_to_net/1000000</f>
        <v>82.9108480428342</v>
      </c>
      <c r="T21" s="35" t="n">
        <f aca="false">T20*Compliance*WAC_month*Gross_to_net/1000000</f>
        <v>45.2361586921703</v>
      </c>
      <c r="U21" s="35" t="n">
        <f aca="false">U20*Compliance*WAC_month*Gross_to_net/1000000</f>
        <v>46.2765903420902</v>
      </c>
    </row>
    <row r="22" customFormat="false" ht="15" hidden="false" customHeight="false" outlineLevel="0" collapsed="false">
      <c r="A22" s="2" t="s">
        <v>220</v>
      </c>
      <c r="I22" s="36" t="n">
        <f aca="false">Plan_2029</f>
        <v>250</v>
      </c>
    </row>
    <row r="24" customFormat="false" ht="15" hidden="false" customHeight="false" outlineLevel="0" collapsed="false">
      <c r="A24" s="5" t="s">
        <v>221</v>
      </c>
      <c r="B24" s="35" t="n">
        <f aca="false">MAX(B21:U21)</f>
        <v>108.062363040514</v>
      </c>
    </row>
    <row r="25" customFormat="false" ht="15" hidden="false" customHeight="false" outlineLevel="0" collapsed="false">
      <c r="A25" s="5" t="s">
        <v>222</v>
      </c>
      <c r="B25" s="5" t="str">
        <f aca="false">INDEX(B3:U3,MATCH(B24,B21:U21,0))</f>
        <v>2038</v>
      </c>
    </row>
    <row r="26" customFormat="false" ht="15" hidden="false" customHeight="false" outlineLevel="0" collapsed="false">
      <c r="A26" s="2" t="s">
        <v>223</v>
      </c>
      <c r="B26" s="36" t="n">
        <f aca="false">Plan_peak</f>
        <v>400</v>
      </c>
    </row>
    <row r="28" customFormat="false" ht="15" hidden="false" customHeight="false" outlineLevel="0" collapsed="false">
      <c r="A28" s="2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21" t="s">
        <v>225</v>
      </c>
    </row>
    <row r="2" customFormat="false" ht="15" hidden="false" customHeight="false" outlineLevel="0" collapsed="false">
      <c r="A2" s="22" t="s">
        <v>226</v>
      </c>
    </row>
    <row r="4" customFormat="false" ht="23.85" hidden="false" customHeight="false" outlineLevel="0" collapsed="false">
      <c r="A4" s="37" t="s">
        <v>227</v>
      </c>
      <c r="B4" s="37" t="s">
        <v>177</v>
      </c>
      <c r="C4" s="37" t="s">
        <v>228</v>
      </c>
      <c r="D4" s="37" t="s">
        <v>229</v>
      </c>
      <c r="E4" s="37" t="s">
        <v>216</v>
      </c>
      <c r="F4" s="37" t="s">
        <v>230</v>
      </c>
      <c r="G4" s="37" t="s">
        <v>231</v>
      </c>
      <c r="H4" s="37" t="s">
        <v>219</v>
      </c>
    </row>
    <row r="5" customFormat="false" ht="15" hidden="false" customHeight="false" outlineLevel="0" collapsed="false">
      <c r="A5" s="38" t="s">
        <v>232</v>
      </c>
      <c r="B5" s="38" t="s">
        <v>184</v>
      </c>
      <c r="C5" s="38" t="n">
        <v>1</v>
      </c>
      <c r="D5" s="39" t="n">
        <f aca="false">IF(VALUE(B5)=Launch_3L,C5/78,1/12)</f>
        <v>0.0128205128205128</v>
      </c>
      <c r="E5" s="40" t="n">
        <f aca="false">INDEX(Brand_LRP!$B$18:$U$18,MATCH(B5,Brand_LRP!$B$3:$U$3,0))*D5</f>
        <v>1.41886592404846</v>
      </c>
      <c r="F5" s="40" t="n">
        <f aca="false">INDEX(Brand_LRP!$B$19:$U$19,MATCH(B5,Brand_LRP!$B$3:$U$3,0))*12*D5</f>
        <v>8.51319554429077</v>
      </c>
      <c r="G5" s="41" t="n">
        <f aca="false">F5*Compliance</f>
        <v>8.08753576707623</v>
      </c>
      <c r="H5" s="42" t="n">
        <f aca="false">INDEX(Brand_LRP!$B$21:$U$21,MATCH(B5,Brand_LRP!$B$3:$U$3,0))*D5</f>
        <v>0.113710752885092</v>
      </c>
    </row>
    <row r="6" customFormat="false" ht="15" hidden="false" customHeight="false" outlineLevel="0" collapsed="false">
      <c r="A6" s="2" t="s">
        <v>233</v>
      </c>
      <c r="B6" s="2" t="s">
        <v>184</v>
      </c>
      <c r="C6" s="2" t="n">
        <v>2</v>
      </c>
      <c r="D6" s="43" t="n">
        <f aca="false">IF(VALUE(B6)=Launch_3L,C6/78,1/12)</f>
        <v>0.0256410256410256</v>
      </c>
      <c r="E6" s="32" t="n">
        <f aca="false">INDEX(Brand_LRP!$B$18:$U$18,MATCH(B6,Brand_LRP!$B$3:$U$3,0))*D6</f>
        <v>2.83773184809692</v>
      </c>
      <c r="F6" s="32" t="n">
        <f aca="false">INDEX(Brand_LRP!$B$19:$U$19,MATCH(B6,Brand_LRP!$B$3:$U$3,0))*12*D6</f>
        <v>17.0263910885815</v>
      </c>
      <c r="G6" s="44" t="n">
        <f aca="false">F6*Compliance</f>
        <v>16.1750715341525</v>
      </c>
      <c r="H6" s="36" t="n">
        <f aca="false">INDEX(Brand_LRP!$B$21:$U$21,MATCH(B6,Brand_LRP!$B$3:$U$3,0))*D6</f>
        <v>0.227421505770184</v>
      </c>
    </row>
    <row r="7" customFormat="false" ht="15" hidden="false" customHeight="false" outlineLevel="0" collapsed="false">
      <c r="A7" s="38" t="s">
        <v>234</v>
      </c>
      <c r="B7" s="38" t="s">
        <v>184</v>
      </c>
      <c r="C7" s="38" t="n">
        <v>3</v>
      </c>
      <c r="D7" s="39" t="n">
        <f aca="false">IF(VALUE(B7)=Launch_3L,C7/78,1/12)</f>
        <v>0.0384615384615385</v>
      </c>
      <c r="E7" s="40" t="n">
        <f aca="false">INDEX(Brand_LRP!$B$18:$U$18,MATCH(B7,Brand_LRP!$B$3:$U$3,0))*D7</f>
        <v>4.25659777214538</v>
      </c>
      <c r="F7" s="40" t="n">
        <f aca="false">INDEX(Brand_LRP!$B$19:$U$19,MATCH(B7,Brand_LRP!$B$3:$U$3,0))*12*D7</f>
        <v>25.5395866328723</v>
      </c>
      <c r="G7" s="41" t="n">
        <f aca="false">F7*Compliance</f>
        <v>24.2626073012287</v>
      </c>
      <c r="H7" s="42" t="n">
        <f aca="false">INDEX(Brand_LRP!$B$21:$U$21,MATCH(B7,Brand_LRP!$B$3:$U$3,0))*D7</f>
        <v>0.341132258655275</v>
      </c>
    </row>
    <row r="8" customFormat="false" ht="15" hidden="false" customHeight="false" outlineLevel="0" collapsed="false">
      <c r="A8" s="2" t="s">
        <v>235</v>
      </c>
      <c r="B8" s="2" t="s">
        <v>184</v>
      </c>
      <c r="C8" s="2" t="n">
        <v>4</v>
      </c>
      <c r="D8" s="43" t="n">
        <f aca="false">IF(VALUE(B8)=Launch_3L,C8/78,1/12)</f>
        <v>0.0512820512820513</v>
      </c>
      <c r="E8" s="32" t="n">
        <f aca="false">INDEX(Brand_LRP!$B$18:$U$18,MATCH(B8,Brand_LRP!$B$3:$U$3,0))*D8</f>
        <v>5.67546369619385</v>
      </c>
      <c r="F8" s="32" t="n">
        <f aca="false">INDEX(Brand_LRP!$B$19:$U$19,MATCH(B8,Brand_LRP!$B$3:$U$3,0))*12*D8</f>
        <v>34.0527821771631</v>
      </c>
      <c r="G8" s="44" t="n">
        <f aca="false">F8*Compliance</f>
        <v>32.3501430683049</v>
      </c>
      <c r="H8" s="36" t="n">
        <f aca="false">INDEX(Brand_LRP!$B$21:$U$21,MATCH(B8,Brand_LRP!$B$3:$U$3,0))*D8</f>
        <v>0.454843011540367</v>
      </c>
    </row>
    <row r="9" customFormat="false" ht="15" hidden="false" customHeight="false" outlineLevel="0" collapsed="false">
      <c r="A9" s="38" t="s">
        <v>236</v>
      </c>
      <c r="B9" s="38" t="s">
        <v>184</v>
      </c>
      <c r="C9" s="38" t="n">
        <v>5</v>
      </c>
      <c r="D9" s="39" t="n">
        <f aca="false">IF(VALUE(B9)=Launch_3L,C9/78,1/12)</f>
        <v>0.0641025641025641</v>
      </c>
      <c r="E9" s="40" t="n">
        <f aca="false">INDEX(Brand_LRP!$B$18:$U$18,MATCH(B9,Brand_LRP!$B$3:$U$3,0))*D9</f>
        <v>7.09432962024231</v>
      </c>
      <c r="F9" s="40" t="n">
        <f aca="false">INDEX(Brand_LRP!$B$19:$U$19,MATCH(B9,Brand_LRP!$B$3:$U$3,0))*12*D9</f>
        <v>42.5659777214538</v>
      </c>
      <c r="G9" s="41" t="n">
        <f aca="false">F9*Compliance</f>
        <v>40.4376788353812</v>
      </c>
      <c r="H9" s="42" t="n">
        <f aca="false">INDEX(Brand_LRP!$B$21:$U$21,MATCH(B9,Brand_LRP!$B$3:$U$3,0))*D9</f>
        <v>0.568553764425459</v>
      </c>
    </row>
    <row r="10" customFormat="false" ht="15" hidden="false" customHeight="false" outlineLevel="0" collapsed="false">
      <c r="A10" s="2" t="s">
        <v>237</v>
      </c>
      <c r="B10" s="2" t="s">
        <v>184</v>
      </c>
      <c r="C10" s="2" t="n">
        <v>6</v>
      </c>
      <c r="D10" s="43" t="n">
        <f aca="false">IF(VALUE(B10)=Launch_3L,C10/78,1/12)</f>
        <v>0.0769230769230769</v>
      </c>
      <c r="E10" s="32" t="n">
        <f aca="false">INDEX(Brand_LRP!$B$18:$U$18,MATCH(B10,Brand_LRP!$B$3:$U$3,0))*D10</f>
        <v>8.51319554429077</v>
      </c>
      <c r="F10" s="32" t="n">
        <f aca="false">INDEX(Brand_LRP!$B$19:$U$19,MATCH(B10,Brand_LRP!$B$3:$U$3,0))*12*D10</f>
        <v>51.0791732657446</v>
      </c>
      <c r="G10" s="44" t="n">
        <f aca="false">F10*Compliance</f>
        <v>48.5252146024574</v>
      </c>
      <c r="H10" s="36" t="n">
        <f aca="false">INDEX(Brand_LRP!$B$21:$U$21,MATCH(B10,Brand_LRP!$B$3:$U$3,0))*D10</f>
        <v>0.682264517310551</v>
      </c>
    </row>
    <row r="11" customFormat="false" ht="15" hidden="false" customHeight="false" outlineLevel="0" collapsed="false">
      <c r="A11" s="38" t="s">
        <v>238</v>
      </c>
      <c r="B11" s="38" t="s">
        <v>184</v>
      </c>
      <c r="C11" s="38" t="n">
        <v>7</v>
      </c>
      <c r="D11" s="39" t="n">
        <f aca="false">IF(VALUE(B11)=Launch_3L,C11/78,1/12)</f>
        <v>0.0897435897435897</v>
      </c>
      <c r="E11" s="40" t="n">
        <f aca="false">INDEX(Brand_LRP!$B$18:$U$18,MATCH(B11,Brand_LRP!$B$3:$U$3,0))*D11</f>
        <v>9.93206146833923</v>
      </c>
      <c r="F11" s="40" t="n">
        <f aca="false">INDEX(Brand_LRP!$B$19:$U$19,MATCH(B11,Brand_LRP!$B$3:$U$3,0))*12*D11</f>
        <v>59.5923688100354</v>
      </c>
      <c r="G11" s="41" t="n">
        <f aca="false">F11*Compliance</f>
        <v>56.6127503695336</v>
      </c>
      <c r="H11" s="42" t="n">
        <f aca="false">INDEX(Brand_LRP!$B$21:$U$21,MATCH(B11,Brand_LRP!$B$3:$U$3,0))*D11</f>
        <v>0.795975270195643</v>
      </c>
    </row>
    <row r="12" customFormat="false" ht="15" hidden="false" customHeight="false" outlineLevel="0" collapsed="false">
      <c r="A12" s="2" t="s">
        <v>239</v>
      </c>
      <c r="B12" s="2" t="s">
        <v>184</v>
      </c>
      <c r="C12" s="2" t="n">
        <v>8</v>
      </c>
      <c r="D12" s="43" t="n">
        <f aca="false">IF(VALUE(B12)=Launch_3L,C12/78,1/12)</f>
        <v>0.102564102564103</v>
      </c>
      <c r="E12" s="32" t="n">
        <f aca="false">INDEX(Brand_LRP!$B$18:$U$18,MATCH(B12,Brand_LRP!$B$3:$U$3,0))*D12</f>
        <v>11.3509273923877</v>
      </c>
      <c r="F12" s="32" t="n">
        <f aca="false">INDEX(Brand_LRP!$B$19:$U$19,MATCH(B12,Brand_LRP!$B$3:$U$3,0))*12*D12</f>
        <v>68.1055643543262</v>
      </c>
      <c r="G12" s="44" t="n">
        <f aca="false">F12*Compliance</f>
        <v>64.7002861366098</v>
      </c>
      <c r="H12" s="36" t="n">
        <f aca="false">INDEX(Brand_LRP!$B$21:$U$21,MATCH(B12,Brand_LRP!$B$3:$U$3,0))*D12</f>
        <v>0.909686023080734</v>
      </c>
    </row>
    <row r="13" customFormat="false" ht="15" hidden="false" customHeight="false" outlineLevel="0" collapsed="false">
      <c r="A13" s="38" t="s">
        <v>240</v>
      </c>
      <c r="B13" s="38" t="s">
        <v>184</v>
      </c>
      <c r="C13" s="38" t="n">
        <v>9</v>
      </c>
      <c r="D13" s="39" t="n">
        <f aca="false">IF(VALUE(B13)=Launch_3L,C13/78,1/12)</f>
        <v>0.115384615384615</v>
      </c>
      <c r="E13" s="40" t="n">
        <f aca="false">INDEX(Brand_LRP!$B$18:$U$18,MATCH(B13,Brand_LRP!$B$3:$U$3,0))*D13</f>
        <v>12.7697933164362</v>
      </c>
      <c r="F13" s="40" t="n">
        <f aca="false">INDEX(Brand_LRP!$B$19:$U$19,MATCH(B13,Brand_LRP!$B$3:$U$3,0))*12*D13</f>
        <v>76.6187598986169</v>
      </c>
      <c r="G13" s="41" t="n">
        <f aca="false">F13*Compliance</f>
        <v>72.7878219036861</v>
      </c>
      <c r="H13" s="42" t="n">
        <f aca="false">INDEX(Brand_LRP!$B$21:$U$21,MATCH(B13,Brand_LRP!$B$3:$U$3,0))*D13</f>
        <v>1.02339677596583</v>
      </c>
    </row>
    <row r="14" customFormat="false" ht="15" hidden="false" customHeight="false" outlineLevel="0" collapsed="false">
      <c r="A14" s="2" t="s">
        <v>241</v>
      </c>
      <c r="B14" s="2" t="s">
        <v>184</v>
      </c>
      <c r="C14" s="2" t="n">
        <v>10</v>
      </c>
      <c r="D14" s="43" t="n">
        <f aca="false">IF(VALUE(B14)=Launch_3L,C14/78,1/12)</f>
        <v>0.128205128205128</v>
      </c>
      <c r="E14" s="32" t="n">
        <f aca="false">INDEX(Brand_LRP!$B$18:$U$18,MATCH(B14,Brand_LRP!$B$3:$U$3,0))*D14</f>
        <v>14.1886592404846</v>
      </c>
      <c r="F14" s="32" t="n">
        <f aca="false">INDEX(Brand_LRP!$B$19:$U$19,MATCH(B14,Brand_LRP!$B$3:$U$3,0))*12*D14</f>
        <v>85.1319554429077</v>
      </c>
      <c r="G14" s="44" t="n">
        <f aca="false">F14*Compliance</f>
        <v>80.8753576707623</v>
      </c>
      <c r="H14" s="36" t="n">
        <f aca="false">INDEX(Brand_LRP!$B$21:$U$21,MATCH(B14,Brand_LRP!$B$3:$U$3,0))*D14</f>
        <v>1.13710752885092</v>
      </c>
    </row>
    <row r="15" customFormat="false" ht="15" hidden="false" customHeight="false" outlineLevel="0" collapsed="false">
      <c r="A15" s="38" t="s">
        <v>242</v>
      </c>
      <c r="B15" s="38" t="s">
        <v>184</v>
      </c>
      <c r="C15" s="38" t="n">
        <v>11</v>
      </c>
      <c r="D15" s="39" t="n">
        <f aca="false">IF(VALUE(B15)=Launch_3L,C15/78,1/12)</f>
        <v>0.141025641025641</v>
      </c>
      <c r="E15" s="40" t="n">
        <f aca="false">INDEX(Brand_LRP!$B$18:$U$18,MATCH(B15,Brand_LRP!$B$3:$U$3,0))*D15</f>
        <v>15.6075251645331</v>
      </c>
      <c r="F15" s="40" t="n">
        <f aca="false">INDEX(Brand_LRP!$B$19:$U$19,MATCH(B15,Brand_LRP!$B$3:$U$3,0))*12*D15</f>
        <v>93.6451509871985</v>
      </c>
      <c r="G15" s="41" t="n">
        <f aca="false">F15*Compliance</f>
        <v>88.9628934378385</v>
      </c>
      <c r="H15" s="42" t="n">
        <f aca="false">INDEX(Brand_LRP!$B$21:$U$21,MATCH(B15,Brand_LRP!$B$3:$U$3,0))*D15</f>
        <v>1.25081828173601</v>
      </c>
    </row>
    <row r="16" customFormat="false" ht="15" hidden="false" customHeight="false" outlineLevel="0" collapsed="false">
      <c r="A16" s="2" t="s">
        <v>243</v>
      </c>
      <c r="B16" s="2" t="s">
        <v>184</v>
      </c>
      <c r="C16" s="2" t="n">
        <v>12</v>
      </c>
      <c r="D16" s="43" t="n">
        <f aca="false">IF(VALUE(B16)=Launch_3L,C16/78,1/12)</f>
        <v>0.153846153846154</v>
      </c>
      <c r="E16" s="32" t="n">
        <f aca="false">INDEX(Brand_LRP!$B$18:$U$18,MATCH(B16,Brand_LRP!$B$3:$U$3,0))*D16</f>
        <v>17.0263910885815</v>
      </c>
      <c r="F16" s="32" t="n">
        <f aca="false">INDEX(Brand_LRP!$B$19:$U$19,MATCH(B16,Brand_LRP!$B$3:$U$3,0))*12*D16</f>
        <v>102.158346531489</v>
      </c>
      <c r="G16" s="44" t="n">
        <f aca="false">F16*Compliance</f>
        <v>97.0504292049148</v>
      </c>
      <c r="H16" s="36" t="n">
        <f aca="false">INDEX(Brand_LRP!$B$21:$U$21,MATCH(B16,Brand_LRP!$B$3:$U$3,0))*D16</f>
        <v>1.3645290346211</v>
      </c>
    </row>
    <row r="17" customFormat="false" ht="15" hidden="false" customHeight="false" outlineLevel="0" collapsed="false">
      <c r="A17" s="38" t="s">
        <v>244</v>
      </c>
      <c r="B17" s="38" t="s">
        <v>185</v>
      </c>
      <c r="C17" s="38" t="n">
        <v>1</v>
      </c>
      <c r="D17" s="39" t="n">
        <f aca="false">IF(VALUE(B17)=Launch_3L,C17/78,1/12)</f>
        <v>0.0833333333333333</v>
      </c>
      <c r="E17" s="40" t="n">
        <f aca="false">INDEX(Brand_LRP!$B$18:$U$18,MATCH(B17,Brand_LRP!$B$3:$U$3,0))*D17</f>
        <v>38.39063190201</v>
      </c>
      <c r="F17" s="40" t="n">
        <f aca="false">INDEX(Brand_LRP!$B$19:$U$19,MATCH(B17,Brand_LRP!$B$3:$U$3,0))*12*D17</f>
        <v>230.34379141206</v>
      </c>
      <c r="G17" s="41" t="n">
        <f aca="false">F17*Compliance</f>
        <v>218.826601841457</v>
      </c>
      <c r="H17" s="42" t="n">
        <f aca="false">INDEX(Brand_LRP!$B$21:$U$21,MATCH(B17,Brand_LRP!$B$3:$U$3,0))*D17</f>
        <v>3.07670202189089</v>
      </c>
    </row>
    <row r="18" customFormat="false" ht="15" hidden="false" customHeight="false" outlineLevel="0" collapsed="false">
      <c r="A18" s="2" t="s">
        <v>245</v>
      </c>
      <c r="B18" s="2" t="s">
        <v>185</v>
      </c>
      <c r="C18" s="2" t="n">
        <v>2</v>
      </c>
      <c r="D18" s="43" t="n">
        <f aca="false">IF(VALUE(B18)=Launch_3L,C18/78,1/12)</f>
        <v>0.0833333333333333</v>
      </c>
      <c r="E18" s="32" t="n">
        <f aca="false">INDEX(Brand_LRP!$B$18:$U$18,MATCH(B18,Brand_LRP!$B$3:$U$3,0))*D18</f>
        <v>38.39063190201</v>
      </c>
      <c r="F18" s="32" t="n">
        <f aca="false">INDEX(Brand_LRP!$B$19:$U$19,MATCH(B18,Brand_LRP!$B$3:$U$3,0))*12*D18</f>
        <v>230.34379141206</v>
      </c>
      <c r="G18" s="44" t="n">
        <f aca="false">F18*Compliance</f>
        <v>218.826601841457</v>
      </c>
      <c r="H18" s="36" t="n">
        <f aca="false">INDEX(Brand_LRP!$B$21:$U$21,MATCH(B18,Brand_LRP!$B$3:$U$3,0))*D18</f>
        <v>3.07670202189089</v>
      </c>
    </row>
    <row r="19" customFormat="false" ht="15" hidden="false" customHeight="false" outlineLevel="0" collapsed="false">
      <c r="A19" s="38" t="s">
        <v>246</v>
      </c>
      <c r="B19" s="38" t="s">
        <v>185</v>
      </c>
      <c r="C19" s="38" t="n">
        <v>3</v>
      </c>
      <c r="D19" s="39" t="n">
        <f aca="false">IF(VALUE(B19)=Launch_3L,C19/78,1/12)</f>
        <v>0.0833333333333333</v>
      </c>
      <c r="E19" s="40" t="n">
        <f aca="false">INDEX(Brand_LRP!$B$18:$U$18,MATCH(B19,Brand_LRP!$B$3:$U$3,0))*D19</f>
        <v>38.39063190201</v>
      </c>
      <c r="F19" s="40" t="n">
        <f aca="false">INDEX(Brand_LRP!$B$19:$U$19,MATCH(B19,Brand_LRP!$B$3:$U$3,0))*12*D19</f>
        <v>230.34379141206</v>
      </c>
      <c r="G19" s="41" t="n">
        <f aca="false">F19*Compliance</f>
        <v>218.826601841457</v>
      </c>
      <c r="H19" s="42" t="n">
        <f aca="false">INDEX(Brand_LRP!$B$21:$U$21,MATCH(B19,Brand_LRP!$B$3:$U$3,0))*D19</f>
        <v>3.07670202189089</v>
      </c>
    </row>
    <row r="20" customFormat="false" ht="15" hidden="false" customHeight="false" outlineLevel="0" collapsed="false">
      <c r="A20" s="2" t="s">
        <v>247</v>
      </c>
      <c r="B20" s="2" t="s">
        <v>185</v>
      </c>
      <c r="C20" s="2" t="n">
        <v>4</v>
      </c>
      <c r="D20" s="43" t="n">
        <f aca="false">IF(VALUE(B20)=Launch_3L,C20/78,1/12)</f>
        <v>0.0833333333333333</v>
      </c>
      <c r="E20" s="32" t="n">
        <f aca="false">INDEX(Brand_LRP!$B$18:$U$18,MATCH(B20,Brand_LRP!$B$3:$U$3,0))*D20</f>
        <v>38.39063190201</v>
      </c>
      <c r="F20" s="32" t="n">
        <f aca="false">INDEX(Brand_LRP!$B$19:$U$19,MATCH(B20,Brand_LRP!$B$3:$U$3,0))*12*D20</f>
        <v>230.34379141206</v>
      </c>
      <c r="G20" s="44" t="n">
        <f aca="false">F20*Compliance</f>
        <v>218.826601841457</v>
      </c>
      <c r="H20" s="36" t="n">
        <f aca="false">INDEX(Brand_LRP!$B$21:$U$21,MATCH(B20,Brand_LRP!$B$3:$U$3,0))*D20</f>
        <v>3.07670202189089</v>
      </c>
    </row>
    <row r="21" customFormat="false" ht="15" hidden="false" customHeight="false" outlineLevel="0" collapsed="false">
      <c r="A21" s="38" t="s">
        <v>248</v>
      </c>
      <c r="B21" s="38" t="s">
        <v>185</v>
      </c>
      <c r="C21" s="38" t="n">
        <v>5</v>
      </c>
      <c r="D21" s="39" t="n">
        <f aca="false">IF(VALUE(B21)=Launch_3L,C21/78,1/12)</f>
        <v>0.0833333333333333</v>
      </c>
      <c r="E21" s="40" t="n">
        <f aca="false">INDEX(Brand_LRP!$B$18:$U$18,MATCH(B21,Brand_LRP!$B$3:$U$3,0))*D21</f>
        <v>38.39063190201</v>
      </c>
      <c r="F21" s="40" t="n">
        <f aca="false">INDEX(Brand_LRP!$B$19:$U$19,MATCH(B21,Brand_LRP!$B$3:$U$3,0))*12*D21</f>
        <v>230.34379141206</v>
      </c>
      <c r="G21" s="41" t="n">
        <f aca="false">F21*Compliance</f>
        <v>218.826601841457</v>
      </c>
      <c r="H21" s="42" t="n">
        <f aca="false">INDEX(Brand_LRP!$B$21:$U$21,MATCH(B21,Brand_LRP!$B$3:$U$3,0))*D21</f>
        <v>3.07670202189089</v>
      </c>
    </row>
    <row r="22" customFormat="false" ht="15" hidden="false" customHeight="false" outlineLevel="0" collapsed="false">
      <c r="A22" s="2" t="s">
        <v>249</v>
      </c>
      <c r="B22" s="2" t="s">
        <v>185</v>
      </c>
      <c r="C22" s="2" t="n">
        <v>6</v>
      </c>
      <c r="D22" s="43" t="n">
        <f aca="false">IF(VALUE(B22)=Launch_3L,C22/78,1/12)</f>
        <v>0.0833333333333333</v>
      </c>
      <c r="E22" s="32" t="n">
        <f aca="false">INDEX(Brand_LRP!$B$18:$U$18,MATCH(B22,Brand_LRP!$B$3:$U$3,0))*D22</f>
        <v>38.39063190201</v>
      </c>
      <c r="F22" s="32" t="n">
        <f aca="false">INDEX(Brand_LRP!$B$19:$U$19,MATCH(B22,Brand_LRP!$B$3:$U$3,0))*12*D22</f>
        <v>230.34379141206</v>
      </c>
      <c r="G22" s="44" t="n">
        <f aca="false">F22*Compliance</f>
        <v>218.826601841457</v>
      </c>
      <c r="H22" s="36" t="n">
        <f aca="false">INDEX(Brand_LRP!$B$21:$U$21,MATCH(B22,Brand_LRP!$B$3:$U$3,0))*D22</f>
        <v>3.07670202189089</v>
      </c>
    </row>
    <row r="23" customFormat="false" ht="15" hidden="false" customHeight="false" outlineLevel="0" collapsed="false">
      <c r="A23" s="38" t="s">
        <v>250</v>
      </c>
      <c r="B23" s="38" t="s">
        <v>185</v>
      </c>
      <c r="C23" s="38" t="n">
        <v>7</v>
      </c>
      <c r="D23" s="39" t="n">
        <f aca="false">IF(VALUE(B23)=Launch_3L,C23/78,1/12)</f>
        <v>0.0833333333333333</v>
      </c>
      <c r="E23" s="40" t="n">
        <f aca="false">INDEX(Brand_LRP!$B$18:$U$18,MATCH(B23,Brand_LRP!$B$3:$U$3,0))*D23</f>
        <v>38.39063190201</v>
      </c>
      <c r="F23" s="40" t="n">
        <f aca="false">INDEX(Brand_LRP!$B$19:$U$19,MATCH(B23,Brand_LRP!$B$3:$U$3,0))*12*D23</f>
        <v>230.34379141206</v>
      </c>
      <c r="G23" s="41" t="n">
        <f aca="false">F23*Compliance</f>
        <v>218.826601841457</v>
      </c>
      <c r="H23" s="42" t="n">
        <f aca="false">INDEX(Brand_LRP!$B$21:$U$21,MATCH(B23,Brand_LRP!$B$3:$U$3,0))*D23</f>
        <v>3.07670202189089</v>
      </c>
    </row>
    <row r="24" customFormat="false" ht="15" hidden="false" customHeight="false" outlineLevel="0" collapsed="false">
      <c r="A24" s="2" t="s">
        <v>251</v>
      </c>
      <c r="B24" s="2" t="s">
        <v>185</v>
      </c>
      <c r="C24" s="2" t="n">
        <v>8</v>
      </c>
      <c r="D24" s="43" t="n">
        <f aca="false">IF(VALUE(B24)=Launch_3L,C24/78,1/12)</f>
        <v>0.0833333333333333</v>
      </c>
      <c r="E24" s="32" t="n">
        <f aca="false">INDEX(Brand_LRP!$B$18:$U$18,MATCH(B24,Brand_LRP!$B$3:$U$3,0))*D24</f>
        <v>38.39063190201</v>
      </c>
      <c r="F24" s="32" t="n">
        <f aca="false">INDEX(Brand_LRP!$B$19:$U$19,MATCH(B24,Brand_LRP!$B$3:$U$3,0))*12*D24</f>
        <v>230.34379141206</v>
      </c>
      <c r="G24" s="44" t="n">
        <f aca="false">F24*Compliance</f>
        <v>218.826601841457</v>
      </c>
      <c r="H24" s="36" t="n">
        <f aca="false">INDEX(Brand_LRP!$B$21:$U$21,MATCH(B24,Brand_LRP!$B$3:$U$3,0))*D24</f>
        <v>3.07670202189089</v>
      </c>
    </row>
    <row r="25" customFormat="false" ht="15" hidden="false" customHeight="false" outlineLevel="0" collapsed="false">
      <c r="A25" s="38" t="s">
        <v>252</v>
      </c>
      <c r="B25" s="38" t="s">
        <v>185</v>
      </c>
      <c r="C25" s="38" t="n">
        <v>9</v>
      </c>
      <c r="D25" s="39" t="n">
        <f aca="false">IF(VALUE(B25)=Launch_3L,C25/78,1/12)</f>
        <v>0.0833333333333333</v>
      </c>
      <c r="E25" s="40" t="n">
        <f aca="false">INDEX(Brand_LRP!$B$18:$U$18,MATCH(B25,Brand_LRP!$B$3:$U$3,0))*D25</f>
        <v>38.39063190201</v>
      </c>
      <c r="F25" s="40" t="n">
        <f aca="false">INDEX(Brand_LRP!$B$19:$U$19,MATCH(B25,Brand_LRP!$B$3:$U$3,0))*12*D25</f>
        <v>230.34379141206</v>
      </c>
      <c r="G25" s="41" t="n">
        <f aca="false">F25*Compliance</f>
        <v>218.826601841457</v>
      </c>
      <c r="H25" s="42" t="n">
        <f aca="false">INDEX(Brand_LRP!$B$21:$U$21,MATCH(B25,Brand_LRP!$B$3:$U$3,0))*D25</f>
        <v>3.07670202189089</v>
      </c>
    </row>
    <row r="26" customFormat="false" ht="15" hidden="false" customHeight="false" outlineLevel="0" collapsed="false">
      <c r="A26" s="2" t="s">
        <v>253</v>
      </c>
      <c r="B26" s="2" t="s">
        <v>185</v>
      </c>
      <c r="C26" s="2" t="n">
        <v>10</v>
      </c>
      <c r="D26" s="43" t="n">
        <f aca="false">IF(VALUE(B26)=Launch_3L,C26/78,1/12)</f>
        <v>0.0833333333333333</v>
      </c>
      <c r="E26" s="32" t="n">
        <f aca="false">INDEX(Brand_LRP!$B$18:$U$18,MATCH(B26,Brand_LRP!$B$3:$U$3,0))*D26</f>
        <v>38.39063190201</v>
      </c>
      <c r="F26" s="32" t="n">
        <f aca="false">INDEX(Brand_LRP!$B$19:$U$19,MATCH(B26,Brand_LRP!$B$3:$U$3,0))*12*D26</f>
        <v>230.34379141206</v>
      </c>
      <c r="G26" s="44" t="n">
        <f aca="false">F26*Compliance</f>
        <v>218.826601841457</v>
      </c>
      <c r="H26" s="36" t="n">
        <f aca="false">INDEX(Brand_LRP!$B$21:$U$21,MATCH(B26,Brand_LRP!$B$3:$U$3,0))*D26</f>
        <v>3.07670202189089</v>
      </c>
    </row>
    <row r="27" customFormat="false" ht="15" hidden="false" customHeight="false" outlineLevel="0" collapsed="false">
      <c r="A27" s="38" t="s">
        <v>254</v>
      </c>
      <c r="B27" s="38" t="s">
        <v>185</v>
      </c>
      <c r="C27" s="38" t="n">
        <v>11</v>
      </c>
      <c r="D27" s="39" t="n">
        <f aca="false">IF(VALUE(B27)=Launch_3L,C27/78,1/12)</f>
        <v>0.0833333333333333</v>
      </c>
      <c r="E27" s="40" t="n">
        <f aca="false">INDEX(Brand_LRP!$B$18:$U$18,MATCH(B27,Brand_LRP!$B$3:$U$3,0))*D27</f>
        <v>38.39063190201</v>
      </c>
      <c r="F27" s="40" t="n">
        <f aca="false">INDEX(Brand_LRP!$B$19:$U$19,MATCH(B27,Brand_LRP!$B$3:$U$3,0))*12*D27</f>
        <v>230.34379141206</v>
      </c>
      <c r="G27" s="41" t="n">
        <f aca="false">F27*Compliance</f>
        <v>218.826601841457</v>
      </c>
      <c r="H27" s="42" t="n">
        <f aca="false">INDEX(Brand_LRP!$B$21:$U$21,MATCH(B27,Brand_LRP!$B$3:$U$3,0))*D27</f>
        <v>3.07670202189089</v>
      </c>
    </row>
    <row r="28" customFormat="false" ht="15" hidden="false" customHeight="false" outlineLevel="0" collapsed="false">
      <c r="A28" s="2" t="s">
        <v>255</v>
      </c>
      <c r="B28" s="2" t="s">
        <v>185</v>
      </c>
      <c r="C28" s="2" t="n">
        <v>12</v>
      </c>
      <c r="D28" s="43" t="n">
        <f aca="false">IF(VALUE(B28)=Launch_3L,C28/78,1/12)</f>
        <v>0.0833333333333333</v>
      </c>
      <c r="E28" s="32" t="n">
        <f aca="false">INDEX(Brand_LRP!$B$18:$U$18,MATCH(B28,Brand_LRP!$B$3:$U$3,0))*D28</f>
        <v>38.39063190201</v>
      </c>
      <c r="F28" s="32" t="n">
        <f aca="false">INDEX(Brand_LRP!$B$19:$U$19,MATCH(B28,Brand_LRP!$B$3:$U$3,0))*12*D28</f>
        <v>230.34379141206</v>
      </c>
      <c r="G28" s="44" t="n">
        <f aca="false">F28*Compliance</f>
        <v>218.826601841457</v>
      </c>
      <c r="H28" s="36" t="n">
        <f aca="false">INDEX(Brand_LRP!$B$21:$U$21,MATCH(B28,Brand_LRP!$B$3:$U$3,0))*D28</f>
        <v>3.07670202189089</v>
      </c>
    </row>
    <row r="30" customFormat="false" ht="15" hidden="false" customHeight="false" outlineLevel="0" collapsed="false">
      <c r="A30" s="5" t="s">
        <v>256</v>
      </c>
      <c r="H30" s="35" t="n">
        <f aca="false">SUM(H5:H16)</f>
        <v>8.86943872503716</v>
      </c>
    </row>
    <row r="31" customFormat="false" ht="15" hidden="false" customHeight="false" outlineLevel="0" collapsed="false">
      <c r="A31" s="5" t="s">
        <v>257</v>
      </c>
      <c r="H31" s="35" t="n">
        <f aca="false">SUM(H17:H28)</f>
        <v>36.9204242626906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2026-10-18T20:41:54Z</dcterms:created>
  <dc:creator>openpyxl</dc:creator>
  <dc:description/>
  <dc:language>en-US</dc:language>
  <cp:lastModifiedBy/>
  <dcterms:modified xsi:type="dcterms:W3CDTF">2026-10-18T20:41:54Z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